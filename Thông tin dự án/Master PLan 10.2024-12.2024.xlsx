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.OKR&amp;KPI 10-12.2024" sheetId="2" r:id="rId5"/>
    <sheet name="B.Marketing Plan 1.10-25.10" sheetId="3" r:id="rId6"/>
    <sheet name="C.MKT Plan Openning Q9" sheetId="4" r:id="rId7"/>
    <sheet name="D.Master Plan Sinh nhật 25.10-15.12" sheetId="5" r:id="rId8"/>
    <sheet name="CTKM 8 Năm" sheetId="6" r:id="rId9"/>
    <sheet name="Dance Viral Clip" sheetId="7" r:id="rId10"/>
    <sheet name="PR&amp;Com" sheetId="8" r:id="rId11"/>
    <sheet name="Loyalty &amp; Affiliate Program" sheetId="9" r:id="rId12"/>
    <sheet name="Owned Media" sheetId="10" r:id="rId13"/>
    <sheet name="Paid Media" sheetId="11" r:id="rId14"/>
    <sheet name="5.5-5S Tâm Đức" sheetId="12" r:id="rId15"/>
    <sheet name="E.Marketing Plan 17.12-31.12" sheetId="13" r:id="rId16"/>
    <sheet name="Metrics Owned Media" sheetId="14" r:id="rId1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<sst xmlns="http://schemas.openxmlformats.org/spreadsheetml/2006/main" count="479" uniqueCount="479">
  <si>
    <t xml:space="preserve">  </t>
  </si>
  <si>
    <t xml:space="preserve">A. BUSINESS OBJECTIVE</t>
  </si>
  <si>
    <t/>
    <r>
      <rPr>
        <u val="single"/>
        <color theme="10"/>
      </rPr>
      <t xml:space="preserve">Business Dashboard</t>
    </r>
    <r>
      <rPr/>
      <t xml:space="preserve"> </t>
    </r>
  </si>
  <si>
    <t xml:space="preserve">A1. CHỈ TIÊU KINH DOANH</t>
  </si>
  <si>
    <t xml:space="preserve">A2. CHỈ TIÊU KINH DOANH</t>
  </si>
  <si>
    <t xml:space="preserve">THÁNG 10</t>
  </si>
  <si>
    <t xml:space="preserve">THÁNG 11 (*)</t>
  </si>
  <si>
    <t xml:space="preserve">Tháng 12 (*)</t>
  </si>
  <si>
    <t xml:space="preserve">TỔNG</t>
  </si>
  <si>
    <t xml:space="preserve">STORE</t>
  </si>
  <si>
    <t xml:space="preserve">Tháng 11</t>
  </si>
  <si>
    <t xml:space="preserve">THÁNG 12</t>
  </si>
  <si>
    <t xml:space="preserve">KPI (**)</t>
  </si>
  <si>
    <t xml:space="preserve">01 Tân Bình</t>
  </si>
  <si>
    <t xml:space="preserve">02 Chi nhánh Q11</t>
  </si>
  <si>
    <t xml:space="preserve">KH CŨ</t>
  </si>
  <si>
    <t xml:space="preserve">03 Thủ Đức</t>
  </si>
  <si>
    <t xml:space="preserve">KH MỚI</t>
  </si>
  <si>
    <t xml:space="preserve">04 Bình Thạnh</t>
  </si>
  <si>
    <t xml:space="preserve">90% KPI Set/Quý</t>
  </si>
  <si>
    <t xml:space="preserve">05 Quận 1</t>
  </si>
  <si>
    <t xml:space="preserve">90% KPI/THÁNG</t>
  </si>
  <si>
    <t xml:space="preserve">06 Gò Vấp</t>
  </si>
  <si>
    <t xml:space="preserve">07 Quận 7</t>
  </si>
  <si>
    <t xml:space="preserve">08 Quận 12</t>
  </si>
  <si>
    <t xml:space="preserve">09 Quận 9</t>
  </si>
  <si>
    <t xml:space="preserve">(*) Doanh thu từ khai trương chi nhánh 09 Quận 9
(**) Chi phí Marketing &amp; Đánh giá hiệu suất, cơ chế thưởng.</t>
  </si>
  <si>
    <t xml:space="preserve">Tổng</t>
  </si>
  <si>
    <t xml:space="preserve">A3. CHỈ TIÊU CUSTOMER SERVICE TEAM</t>
  </si>
  <si>
    <t/>
    <r>
      <rPr/>
      <t xml:space="preserve">CS OKR &amp; KPI PLAN: </t>
    </r>
    <r>
      <rPr>
        <u val="single"/>
        <color theme="10"/>
      </rPr>
      <t xml:space="preserve">OKR &amp; KPI Phòng CS</t>
    </r>
    <r>
      <rPr/>
      <t xml:space="preserve"> </t>
    </r>
  </si>
  <si>
    <t xml:space="preserve">KPI (*)</t>
  </si>
  <si>
    <t xml:space="preserve">A3. PHÂN BỔ CHỈ TIÊU DOANH THU &amp; CHI PHÍ THEO CAMPAIGN/GIAI ĐOẠN</t>
  </si>
  <si>
    <t xml:space="preserve">THÁNG 10.2024</t>
  </si>
  <si>
    <t xml:space="preserve">THÁNG 11.2024</t>
  </si>
  <si>
    <t xml:space="preserve">THÁNG 12.2024</t>
  </si>
  <si>
    <t xml:space="preserve">OPENNING QUẬN 9</t>
  </si>
  <si>
    <t xml:space="preserve">TIME</t>
  </si>
  <si>
    <t xml:space="preserve">1.10-31.10</t>
  </si>
  <si>
    <t xml:space="preserve">1.11-30.11</t>
  </si>
  <si>
    <t xml:space="preserve">1.12-31.12</t>
  </si>
  <si>
    <t xml:space="preserve">2.11-31.12</t>
  </si>
  <si>
    <t xml:space="preserve">DT</t>
  </si>
  <si>
    <t xml:space="preserve">BUDGET (*)</t>
  </si>
  <si>
    <t xml:space="preserve">Brand &amp; Com</t>
  </si>
  <si>
    <t xml:space="preserve">Paid Media</t>
  </si>
  <si>
    <t xml:space="preserve">Lưu ý:
1. Có thể linh hoạt chuyển đổi chi phí giữa các giai đoạn theo tình hình thực tế nhưng phải đảm bảo ngân sách tổng.
2. Chi phí cho khai trương Quận 9 là 20%/Doanh thu dự kiến
3. Chi phí=5.7%/Doanh thu/Campaign vượt mức 5% cố định do đầu tư vào giai đoạn Tái định vị &amp; khai trương. Trong đó cơ cấu chi phí cho hoạt động Brand &amp; Com, Paid Ads sẽ được cân đối để đảm bảo Doanh thu &amp; các hoạt động.</t>
  </si>
  <si>
    <t xml:space="preserve">B. MARKETING OBJECTIVE</t>
  </si>
  <si>
    <t xml:space="preserve">C. MARKETING KPI (90%)</t>
  </si>
  <si>
    <t xml:space="preserve">MÔ TẢ MỤC TIÊU</t>
  </si>
  <si>
    <t xml:space="preserve">THÁNG 11</t>
  </si>
  <si>
    <t xml:space="preserve">Nội dung Tái định vị</t>
  </si>
  <si>
    <t xml:space="preserve">Triển khai Tái định vị Phase 1: "Slogan &amp; Câu chuyện thương hiệu""</t>
  </si>
  <si>
    <t xml:space="preserve">Công bố &amp; truyền thông Slogan "GIÁ TRỊ &amp; TRẢI NGHIỆM"</t>
  </si>
  <si>
    <t xml:space="preserve">Công bố Website mới, truyền thông câu chuyện Thương hiệu &amp; khai trương chi nhánh 09</t>
  </si>
  <si>
    <t xml:space="preserve">Tiếp tục truyền thông Câu chuyện thương hiệu &amp; triển khai 5S Tâm Đức. 
Duy trì khai trương Q.9</t>
  </si>
  <si>
    <t xml:space="preserve">Tiếp tục truyền thông Câu chuyện thương hiệu &amp; triển khai 5S Tâm Đức. 
Duy trì khai trương Q9</t>
  </si>
  <si>
    <t xml:space="preserve">Khách hàng</t>
  </si>
  <si>
    <t xml:space="preserve">Tăng trưởng mạnh mẽ nhóm khách hàng mới &amp; tỷ lệ quay lại khách hàng cũ </t>
  </si>
  <si>
    <t xml:space="preserve">Khách cũ quay lại 58%</t>
  </si>
  <si>
    <t xml:space="preserve">Khách cũ quay lại 62%</t>
  </si>
  <si>
    <t xml:space="preserve">Khách cũ 56.84%</t>
  </si>
  <si>
    <t xml:space="preserve">Khách cũ 60.76%</t>
  </si>
  <si>
    <t xml:space="preserve">Khách mới Growth 10%</t>
  </si>
  <si>
    <t xml:space="preserve">Khách mới Growth 15%</t>
  </si>
  <si>
    <t xml:space="preserve">Khách mới Growth 9%</t>
  </si>
  <si>
    <t xml:space="preserve">Khách mới Growth 13.5%</t>
  </si>
  <si>
    <t xml:space="preserve">Tăng trưởng các chỉ số Owned Media</t>
  </si>
  <si>
    <t xml:space="preserve">Tăng trưởng qua lượng Reach trên Social Media.</t>
  </si>
  <si>
    <t xml:space="preserve">Tăng trưởng qua lượng Engagement trên Social Media.</t>
  </si>
  <si>
    <t xml:space="preserve">Tăng trưởng Traffic trên Website</t>
  </si>
  <si>
    <t xml:space="preserve">Tăng trưởng Views Organic (TikTok/Facebook/Youtube)</t>
  </si>
  <si>
    <t xml:space="preserve">Phát triển Kênh mới</t>
  </si>
  <si>
    <t xml:space="preserve">Linkedin</t>
  </si>
  <si>
    <t xml:space="preserve">Linkedin
Youtube</t>
  </si>
  <si>
    <t xml:space="preserve">Tạo thảo luận về Thương hiệu trên Social Media</t>
  </si>
  <si>
    <t xml:space="preserve">Thông qua UGC content bằng hình thức #</t>
  </si>
  <si>
    <t xml:space="preserve">#100</t>
  </si>
  <si>
    <t xml:space="preserve">#250</t>
  </si>
  <si>
    <t xml:space="preserve">#200</t>
  </si>
  <si>
    <t xml:space="preserve">#90</t>
  </si>
  <si>
    <t xml:space="preserve">#225</t>
  </si>
  <si>
    <t xml:space="preserve">#180</t>
  </si>
  <si>
    <t xml:space="preserve">Tăng trưởng nhận diện Thương hiệu</t>
  </si>
  <si>
    <t xml:space="preserve">Qua Branded Merchandise</t>
  </si>
  <si>
    <t xml:space="preserve">#Sổ #giá đỡ điện thoại</t>
  </si>
  <si>
    <t xml:space="preserve">#Túi Tote #Nón bảo hiểm #Sổ #Giây đeo kính</t>
  </si>
  <si>
    <t xml:space="preserve">Media Booking - OOH</t>
  </si>
  <si>
    <t xml:space="preserve">Coffee Shop, Uni OOH</t>
  </si>
  <si>
    <t xml:space="preserve">Đại sứ Thương hiệu/Đại sứ truyền thông</t>
  </si>
  <si>
    <t xml:space="preserve">Ông chú Polo + 1 Influencer phù hợp</t>
  </si>
  <si>
    <t xml:space="preserve">Activations</t>
  </si>
  <si>
    <t xml:space="preserve">1. Masscot
2. Game Online</t>
  </si>
  <si>
    <t xml:space="preserve">1. Masscot
2. Game Online/Offline</t>
  </si>
  <si>
    <t xml:space="preserve">1.Masscot
2.Game Online/Offline</t>
  </si>
  <si>
    <t xml:space="preserve">Dance Cover</t>
  </si>
  <si>
    <t xml:space="preserve">Viral Dance Clip</t>
  </si>
  <si>
    <t xml:space="preserve">Dance Cover </t>
  </si>
  <si>
    <t xml:space="preserve">01 Viral Dance Clip Thương hiệu</t>
  </si>
  <si>
    <t xml:space="preserve">30 clip từ 50 nhóm nhảy dự thi</t>
  </si>
  <si>
    <t xml:space="preserve">PR &amp; COM</t>
  </si>
  <si>
    <t xml:space="preserve">Co-Branding &amp; Partnership</t>
  </si>
  <si>
    <t xml:space="preserve">Kết hợp với 1 Brand thời trang, Phụ kiện, F&amp;B, CGV</t>
  </si>
  <si>
    <t xml:space="preserve">Kết hợp với 2 Brand thời trang, Phụ kiện, F&amp;B</t>
  </si>
  <si>
    <t xml:space="preserve">Sponsor - Uni Tour</t>
  </si>
  <si>
    <t xml:space="preserve">Đại học Kinh tế - CMO Career</t>
  </si>
  <si>
    <t xml:space="preserve">Đại học SPKT, ĐH Bưu chính Viễn thông, ĐH Công thương,...</t>
  </si>
  <si>
    <t xml:space="preserve">Báo chí</t>
  </si>
  <si>
    <t xml:space="preserve">Plan Nội dung</t>
  </si>
  <si>
    <t xml:space="preserve">VnE, VTV, Tuổi Trẻ</t>
  </si>
  <si>
    <t xml:space="preserve">PR Approve</t>
  </si>
  <si>
    <t xml:space="preserve">VnE, VTV, Tuổi Trẻ, Yan</t>
  </si>
  <si>
    <t xml:space="preserve">Seeding</t>
  </si>
  <si>
    <t xml:space="preserve">KOC</t>
  </si>
  <si>
    <t xml:space="preserve">Promotion</t>
  </si>
  <si>
    <t xml:space="preserve">Đa dạng hơn các hình thức, tạo combo &amp; giá cạnh tranh với mục tiêu Hút Traffic khách hàng mới.</t>
  </si>
  <si>
    <t xml:space="preserve">1. Đại tiệc Sales thường niên.
2. New Activation</t>
  </si>
  <si>
    <t xml:space="preserve">1. Đại tiệc Sales thường niên.
2. Đại tiệc Sinh nhật 8 năm
3. New Activation
4. Tuần lễ khai trương Q9
5. Tuần lễ Black Friday 2024</t>
  </si>
  <si>
    <t xml:space="preserve">1. Đại tiệc Sales thường niên.
2. Đại tiệc Sinh nhật 8 năm
3. New Activation
4. Tuần lễ Noel</t>
  </si>
  <si>
    <t xml:space="preserve">1. Đại tiệc Sales thường niên.
2. Đại tiệc Sinh nhật 8 năm
3. New Activation
4. Tuần lễ Noel
5. Tuần lễ Năm mới</t>
  </si>
  <si>
    <t xml:space="preserve">Loyalty &amp; Affiliate Program</t>
  </si>
  <si>
    <t xml:space="preserve">Chương trình Loyalty mới</t>
  </si>
  <si>
    <t xml:space="preserve">1. THÔNG ĐIỆP:
- Tích điểm, tiêu tiêu điểm linh hoạt
- Quà tặng riêng đặc biệt
- Trải nghiệm mua sắm "WOW"
2. Thẻ member/Custom:
- Silver
- Gold
- Platinum - Khắc tên custom</t>
  </si>
  <si>
    <t xml:space="preserve">Bắt đầu phát hành:
- Silver
- Gold
- Platinum - Khắc tên custom</t>
  </si>
  <si>
    <t xml:space="preserve">- Silver: 2.000
- Gold: 1.000
- Platinum - Khắc tên custom: 500</t>
  </si>
  <si>
    <t xml:space="preserve">- Silver: 4.000
- Gold: 2.000
- Platinum - Khắc tên custom: 1.000</t>
  </si>
  <si>
    <t xml:space="preserve">Affiliate </t>
  </si>
  <si>
    <t xml:space="preserve">1. Kết nối cộng đồng Doanh nghiệp JCI, BNI, Coach, Trainer, C-Level
2. Buiid chính sách Hoa hồng
3. Các hạng mức thẻ &amp; mức chiết khấu mua</t>
  </si>
  <si>
    <t xml:space="preserve">Triển khai thẻ quà Tặng Tâm Đức Luxury Card</t>
  </si>
  <si>
    <t xml:space="preserve">200 thẻ</t>
  </si>
  <si>
    <t xml:space="preserve">400 thẻ</t>
  </si>
  <si>
    <t xml:space="preserve">PAID MEDIA</t>
  </si>
  <si>
    <t xml:space="preserve">Triển khai Brandformance &amp; Các channel ads mới</t>
  </si>
  <si>
    <t xml:space="preserve">Kết hợp đồng thời 02 hình thức Paid Ads Brand Awareness &amp; Conversion.</t>
  </si>
  <si>
    <t xml:space="preserve">1. Kết hợp đồng thời 03 hình thức Paid Ads Brand Awareness &amp; Conversion.
2. Channel mới: TikTok, Linkedin
3. Hình thức mới Natived Ads</t>
  </si>
  <si>
    <t xml:space="preserve">1. Kết hợp đồng thời 03 hình thức Paid Ads Brand Awareness &amp; Conversion.
2. Channel mới: TikTok, Linkedin
4. Hình thức mới Natived Ads</t>
  </si>
  <si>
    <t xml:space="preserve">CTR
ER
CR
CAC
CPM
CPMESS
CPC
CPL</t>
  </si>
  <si>
    <t xml:space="preserve">Các hoạt động phải được triển khai nhất quán để đảm bảo hiệu quả.</t>
  </si>
  <si>
    <t xml:space="preserve">KPI bắt buộc phải đạt 90%/OKR đưa ra</t>
  </si>
  <si>
    <t xml:space="preserve">BUSINESS KPI (1.10-25.10)</t>
  </si>
  <si>
    <t xml:space="preserve">DOANH THU</t>
  </si>
  <si>
    <t xml:space="preserve">BUDGET</t>
  </si>
  <si>
    <t xml:space="preserve">25 DAY</t>
  </si>
  <si>
    <t xml:space="preserve">DAY</t>
  </si>
  <si>
    <t xml:space="preserve">BUDGET ALOCATION</t>
  </si>
  <si>
    <t xml:space="preserve">PAID ADS</t>
  </si>
  <si>
    <t xml:space="preserve">Facebook Ads</t>
  </si>
  <si>
    <t xml:space="preserve">TikTok Ads</t>
  </si>
  <si>
    <t xml:space="preserve">YouTuBe Ads</t>
  </si>
  <si>
    <t xml:space="preserve">BRAND &amp; COM</t>
  </si>
  <si>
    <t xml:space="preserve">TikTok</t>
  </si>
  <si>
    <t xml:space="preserve">Uni Tour (Activation)</t>
  </si>
  <si>
    <t xml:space="preserve">PR-Báo</t>
  </si>
  <si>
    <t xml:space="preserve">Voucher Ecolite:
 Tài trợ Uni Tour &amp; Co-Branding</t>
  </si>
  <si>
    <t xml:space="preserve"> 8.000 cái</t>
  </si>
  <si>
    <t xml:space="preserve">Kèm điều kiện khi phát sinh hóa đơn </t>
  </si>
  <si>
    <t xml:space="preserve">MARKETING OKR</t>
  </si>
  <si>
    <t xml:space="preserve">KPI</t>
  </si>
  <si>
    <t xml:space="preserve">NỘI DUNG/ACTION TRIỂN KHAI</t>
  </si>
  <si>
    <t xml:space="preserve">Tuyến Nội dung Tái định vị</t>
  </si>
  <si>
    <t xml:space="preserve">Triển khai Tái định vị Phase 1: "Slogan &amp; Câu chuyện thương hiệu""</t>
  </si>
  <si>
    <t xml:space="preserve">Công bố Câu chuyện thương hiệu trên Owned Media</t>
  </si>
  <si>
    <t xml:space="preserve">Tăng trưởng các chỉ số Owned Media</t>
  </si>
  <si>
    <t xml:space="preserve">Tăng trưởng qua lượng Reach trên Social Media.</t>
  </si>
  <si>
    <t xml:space="preserve">Thay đổi cách viết storytelling.
Các nhóm bài viết giới thiệu về thương hiệu dựa trên câu chuyện thương hiệu: Tầm nhìn, giá trị cốt lõi, dịch vụ,...</t>
  </si>
  <si>
    <t xml:space="preserve">Tăng trưởng qua lượng Engagement trên Social Media.</t>
  </si>
  <si>
    <t xml:space="preserve">Tăng trưởng Traffic trên Website</t>
  </si>
  <si>
    <t xml:space="preserve">Cấu trúc nội dung Website mới với cách viết tập trung vào khách hàng &amp; tăng chuyển đổi </t>
  </si>
  <si>
    <t xml:space="preserve">Tăng trưởng Views Organic</t>
  </si>
  <si>
    <t xml:space="preserve">Sản xuất các Video với nội dung có giá trị &amp; focus vào khách hàng. Các nội dung bắt trend bổ trợ.</t>
  </si>
  <si>
    <t xml:space="preserve">Phát triển Kênh mới</t>
  </si>
  <si>
    <t xml:space="preserve">Linkedin</t>
  </si>
  <si>
    <t xml:space="preserve">Tập trung vào các tuyến nội dung về thương hiệu.</t>
  </si>
  <si>
    <t xml:space="preserve">Tạo thảo luận về Thương hiệu trên Social Media</t>
  </si>
  <si>
    <t xml:space="preserve">Thông qua UGC content bằng hình thức #</t>
  </si>
  <si>
    <t xml:space="preserve">#50</t>
  </si>
  <si>
    <t xml:space="preserve">TikTok clip có #kinhmoibatchatmoi #matkinhtamduc</t>
  </si>
  <si>
    <t xml:space="preserve">PR &amp; COM</t>
  </si>
  <si>
    <t xml:space="preserve">Co-Branding &amp; Partnership</t>
  </si>
  <si>
    <t xml:space="preserve">BTaskee
CGV</t>
  </si>
  <si>
    <t xml:space="preserve">Đối tác Trao đổi quyền lợi truyền thông &amp; Tâm Đức trao đổi bằng Scheme CT khuyến mãi cho khách hàng của đối tác.</t>
  </si>
  <si>
    <t xml:space="preserve">Sponsor</t>
  </si>
  <si>
    <t xml:space="preserve">Phát voucher tròng Ecolite/Voucher khác cho hoạt động này. </t>
  </si>
  <si>
    <t xml:space="preserve">Báo chí</t>
  </si>
  <si>
    <t xml:space="preserve">1 bài</t>
  </si>
  <si>
    <t xml:space="preserve">VnE hoặc Tuổi Trẻ</t>
  </si>
  <si>
    <t xml:space="preserve">CHƯƠNG TRÌNH KHUYẾN MÃI (5.10-20.10)
(Đa dạng hơn các hình thức, tạo combo &amp; giá cạnh tranh với mục tiêu Hút Traffic khách hàng mới. Cân đối các bài viết nhóm sản phẩm chim mồi &amp; sản phẩm cao cấp)</t>
  </si>
  <si>
    <t xml:space="preserve">LOẠI CHƯƠNG TRÌNH</t>
  </si>
  <si>
    <t xml:space="preserve">NO</t>
  </si>
  <si>
    <t xml:space="preserve">TÊN CHƯƠNG TRÌNH</t>
  </si>
  <si>
    <t xml:space="preserve">THỜI GIAN</t>
  </si>
  <si>
    <t xml:space="preserve">CHI TIẾT/ĐIỀU KIỆN</t>
  </si>
  <si>
    <t xml:space="preserve">CT thường niên</t>
  </si>
  <si>
    <t xml:space="preserve">SIÊU SALE GIẢM ĐẾN 50%
Giảm đến 20% các sản phẩm tròng</t>
  </si>
  <si>
    <t xml:space="preserve">Xuyên suốt</t>
  </si>
  <si>
    <t xml:space="preserve">Thu cũ đổi mới - Tiết kiệm 900K</t>
  </si>
  <si>
    <t xml:space="preserve">Mua kính mát tặng tròng màu Chemi 830K</t>
  </si>
  <si>
    <t xml:space="preserve">Bổ sung Media mới</t>
  </si>
  <si>
    <t xml:space="preserve">VN PAY</t>
  </si>
  <si>
    <t xml:space="preserve">Giảm 250k cho ZEISS Blue Protect 1.56
Giảm 300k cho Essilor Transition Classic 1.56 màu khói</t>
  </si>
  <si>
    <t xml:space="preserve">CT Mới</t>
  </si>
  <si>
    <t xml:space="preserve">Hallo Bác tài:
Tặng bộ kính Cận râm tháo lắp khi cắt tròng
</t>
  </si>
  <si>
    <t xml:space="preserve">5.10 - 20.10</t>
  </si>
  <si>
    <t xml:space="preserve"> Giảm 30% khi mua tròng kính (danh sách tròng kính áp dụng kèm theo)</t>
  </si>
  <si>
    <t xml:space="preserve">Tậu kính Hiệu - Deal hời gấp bội</t>
  </si>
  <si>
    <t xml:space="preserve">Giảm 20% trên giá niêm yết cho các mẫu gọng Molsion/Bolon
Tặng voucher mua tròng nguyên giá 300K: Áp dụng cho tất cả các loại tròng.</t>
  </si>
  <si>
    <t xml:space="preserve">CT 20.10</t>
  </si>
  <si>
    <t/>
    <r>
      <rPr>
        <b val="true"/>
        <i val="false"/>
        <strike val="false"/>
        <sz val="10"/>
        <color rgb="FFF54A45"/>
      </rPr>
      <t xml:space="preserve">Vì bạn mãi là 1 bông hoa: Cho khách hàng nữ
</t>
    </r>
    <r>
      <rPr>
        <b val="true"/>
        <i val="false"/>
        <strike val="false"/>
        <sz val="10"/>
        <color rgb="FF000000"/>
      </rPr>
      <t xml:space="preserve">- Giảm 50% 20 mẫu gọng kính nữ best seller
- Giảm 50% Kính mát Povino (tất cả)</t>
    </r>
  </si>
  <si>
    <t xml:space="preserve">18.10 - 20.10</t>
  </si>
  <si>
    <t xml:space="preserve">Tặng hoa Sáp/hoa vải dưới 10K (từ ngày 18.10 cho đến khi hết quà)</t>
  </si>
  <si>
    <t xml:space="preserve">Phiếu quà tặng: Ý nghĩa của việc tặng kính</t>
  </si>
  <si>
    <t xml:space="preserve">Phiếu quà tặng: bắt trend làm TikTok chạy ads</t>
  </si>
  <si>
    <t xml:space="preserve">Chi nhánh</t>
  </si>
  <si>
    <t xml:space="preserve">Quận 12: Tặng Free tròng Ecolite không cần phát sinh hóa đơn</t>
  </si>
  <si>
    <t xml:space="preserve">Khi mua bất kỳ sản phẩm gọng nào. Nếu khách chỉ lấy tròng thì thu phí mài lắp.</t>
  </si>
  <si>
    <t xml:space="preserve">Sinh nhật Gò vấp:
1. Tặng tròng Ecolite 282k 
2. Mua tròng:
+ KODAK Blue 1.60
+ CHEMI ASX U6 1.67
+ VISION X 1.60 đổi màu asx
+ ZEISS Blue Protect 1.56
+ ESSILOR Transitions Classic 1.56 màu khói
Tặng gọng theo danh sách (gọng cty Đăng Anh Trí giá tối đa 639k)</t>
  </si>
  <si>
    <t xml:space="preserve">12.10-16.10</t>
  </si>
  <si>
    <t xml:space="preserve">Back To School</t>
  </si>
  <si>
    <t/>
    <r>
      <rPr>
        <b val="true"/>
        <i val="false"/>
        <strike val="false"/>
        <sz val="10"/>
        <color rgb="FF000000"/>
      </rPr>
      <t xml:space="preserve">Tựu trường bao vui - Khui ngay Marbook </t>
    </r>
    <r>
      <rPr>
        <b val="true"/>
        <i val="false"/>
        <strike val="false"/>
        <sz val="10"/>
        <color rgb="FFF54A45"/>
      </rPr>
      <t xml:space="preserve">(tiếp diễn từ tháng 9 đến 10.10)</t>
    </r>
  </si>
  <si>
    <t xml:space="preserve">hết 10.10</t>
  </si>
  <si>
    <t xml:space="preserve">Địa chỉ: 252 Lê Văn Việt, P.Tăng Nhơn Phú</t>
  </si>
  <si>
    <t/>
    <r>
      <rPr>
        <u val="single"/>
        <color theme="10"/>
      </rPr>
      <t xml:space="preserve">PLAN KHAI TRƯƠNG CHI NHÁNH Q7</t>
    </r>
    <r>
      <rPr/>
      <t xml:space="preserve"> </t>
    </r>
  </si>
  <si>
    <t xml:space="preserve">KPI (2.11-31.12)</t>
  </si>
  <si>
    <t xml:space="preserve">DOANG THU</t>
  </si>
  <si>
    <t xml:space="preserve">BUDGET</t>
  </si>
  <si>
    <t xml:space="preserve">2 THÁNG</t>
  </si>
  <si>
    <t xml:space="preserve">DAY</t>
  </si>
  <si>
    <t xml:space="preserve">THÁNG KHAI TRƯƠNG</t>
  </si>
  <si>
    <t xml:space="preserve">THÁNG 12</t>
  </si>
  <si>
    <t/>
    <r>
      <rPr/>
      <t xml:space="preserve">ACTION PLAN: </t>
    </r>
    <r>
      <rPr>
        <u val="single"/>
        <color theme="10"/>
      </rPr>
      <t xml:space="preserve">Action Plan Openning Q.9 25.10-30.11</t>
    </r>
    <r>
      <rPr/>
      <t xml:space="preserve"> </t>
    </r>
  </si>
  <si>
    <t xml:space="preserve">KPI (25.10-15.12)</t>
  </si>
  <si>
    <t xml:space="preserve">KEY ACTIVITIES:
</t>
  </si>
  <si>
    <t xml:space="preserve">IMC PLAN</t>
  </si>
  <si>
    <t xml:space="preserve">DOANH THU</t>
  </si>
  <si>
    <t xml:space="preserve">BUDGET</t>
  </si>
  <si>
    <t xml:space="preserve">GIÁ TRỊ &amp; TRẢI NGHIỆM</t>
  </si>
  <si>
    <t xml:space="preserve">25.10-15.12</t>
  </si>
  <si>
    <t xml:space="preserve">Phase 1: 21.10-30.10</t>
  </si>
  <si>
    <t xml:space="preserve">Phase 2: 1.11-30.11</t>
  </si>
  <si>
    <t xml:space="preserve">Phase 3: 1.12-15.12</t>
  </si>
  <si>
    <t xml:space="preserve">DAY</t>
  </si>
  <si>
    <t xml:space="preserve">MARKETING OKR</t>
  </si>
  <si>
    <t xml:space="preserve">KPI</t>
  </si>
  <si>
    <t xml:space="preserve">ACTION</t>
  </si>
  <si>
    <t xml:space="preserve">BUDGET ALOCATION</t>
  </si>
  <si>
    <t xml:space="preserve">Nội dung Tái định vị</t>
  </si>
  <si>
    <t xml:space="preserve">Triển khai Tái định vị Phase 1: "Slogan &amp; Câu chuyện thương hiệu""</t>
  </si>
  <si>
    <t xml:space="preserve">truyền thông câu chuyện Thương hiệu + Clip giới thiệu Thương hiệu</t>
  </si>
  <si>
    <t xml:space="preserve">Công bố Website mới, Công bố &amp; truyền thông Slogan "GIÁ TRỊ &amp; TRẢI NGHIỆM"</t>
  </si>
  <si>
    <t xml:space="preserve">Tiếp tục truyền thông Slogan &amp; phát triển các tagline. Triển khai 5S Tâm Đức.</t>
  </si>
  <si>
    <t xml:space="preserve">PAID MEDIA</t>
  </si>
  <si>
    <t xml:space="preserve">Khách hàng</t>
  </si>
  <si>
    <t xml:space="preserve">Tăng trưởng mạnh mẽ nhóm khách hàng mới &amp; tỷ lệ quay lại khách hàng cũ </t>
  </si>
  <si>
    <t xml:space="preserve">Khách cũ 56.84%</t>
  </si>
  <si>
    <t xml:space="preserve">Khách cũ 60.76%</t>
  </si>
  <si>
    <t xml:space="preserve">Facebook Ads</t>
  </si>
  <si>
    <t xml:space="preserve">Khách mới Growth 9%</t>
  </si>
  <si>
    <t xml:space="preserve">Khách mới Growth 13.5%</t>
  </si>
  <si>
    <t xml:space="preserve">SEM</t>
  </si>
  <si>
    <t xml:space="preserve">Tăng trưởng các chỉ số Owned Media</t>
  </si>
  <si>
    <t xml:space="preserve">Tăng trưởng qua lượng Reach trên Social Media.</t>
  </si>
  <si>
    <t xml:space="preserve">Thay đổi cách viết storytelling.
Các nhóm bài viết giới thiệu về thương hiệu dựa trên câu chuyện thương hiệu: Tầm nhìn, giá trị cốt lõi, dịch vụ,...
Cấu trúc nội dung Website mới với cách viết tập trung vào khách hàng &amp; tăng chuyển đổi 
Sản xuất các Video với nội dung có giá trị &amp; focus vào khách hàng. Các nội dung bắt trend bổ trợ.</t>
  </si>
  <si>
    <t xml:space="preserve">TikTok Ads</t>
  </si>
  <si>
    <t xml:space="preserve">Tăng trưởng qua lượng Engagement trên Social Media.</t>
  </si>
  <si>
    <t xml:space="preserve">Native Ads</t>
  </si>
  <si>
    <t xml:space="preserve">Tăng trưởng Traffic trên Website</t>
  </si>
  <si>
    <t xml:space="preserve">Youtube Ads</t>
  </si>
  <si>
    <t xml:space="preserve">Tăng trưởng Views Organic (TikTok/Facebook/Youtube)</t>
  </si>
  <si>
    <t/>
    <r>
      <rPr>
        <u val="single"/>
        <color theme="10"/>
      </rPr>
      <t xml:space="preserve">TikTok-Định hướng</t>
    </r>
    <r>
      <rPr/>
      <t xml:space="preserve"> </t>
    </r>
  </si>
  <si>
    <t xml:space="preserve">GDN Ads</t>
  </si>
  <si>
    <t xml:space="preserve">Phát triển Kênh mới</t>
  </si>
  <si>
    <t xml:space="preserve">Linkedin</t>
  </si>
  <si>
    <t xml:space="preserve">Tập trung vào các tuyến nội dung về thương hiệu.</t>
  </si>
  <si>
    <t xml:space="preserve">Linkedin, Youtube</t>
  </si>
  <si>
    <t xml:space="preserve">BRAND &amp; COMMUNICATION</t>
  </si>
  <si>
    <t xml:space="preserve">Tạo thảo luận về Thương hiệu trên Social Media</t>
  </si>
  <si>
    <t xml:space="preserve">Thông qua UGC content bằng hình thức #</t>
  </si>
  <si>
    <t xml:space="preserve">#40</t>
  </si>
  <si>
    <t xml:space="preserve">#225</t>
  </si>
  <si>
    <t xml:space="preserve">#180</t>
  </si>
  <si>
    <t xml:space="preserve">Cuộc thi Đại sứ Thương hiệu/Đại diện hình ảnh</t>
  </si>
  <si>
    <t xml:space="preserve">Tăng trưởng nhận diện Thương hiệu</t>
  </si>
  <si>
    <t xml:space="preserve">Qua Branded Merchandise</t>
  </si>
  <si>
    <t xml:space="preserve">#Sổ #giá đỡ điện thoại </t>
  </si>
  <si>
    <t xml:space="preserve">#Túi Tote #Nón bảo hiểm #Sổ #Giây đeo kính</t>
  </si>
  <si>
    <t xml:space="preserve">Viral Dance Cover </t>
  </si>
  <si>
    <t xml:space="preserve">Media Booking - OOH</t>
  </si>
  <si>
    <t xml:space="preserve">Báo giá &amp; check điểm triển khai</t>
  </si>
  <si>
    <t xml:space="preserve">PR-Báo</t>
  </si>
  <si>
    <t xml:space="preserve">Đại sứ Thương hiệu/Đại diện hình ảnh</t>
  </si>
  <si>
    <t xml:space="preserve">SOW &amp; Báo giá</t>
  </si>
  <si>
    <t xml:space="preserve">Influencer cho 02 nhóm khách hàng:
- Nhóm 16-28: ?
- Nhóm &gt;28: Ông chú Polo</t>
  </si>
  <si>
    <t xml:space="preserve">5.11 Công bố Đại sứ thương hiệu/Đại diện hình ảnh</t>
  </si>
  <si>
    <t xml:space="preserve">Hoạt động Mega Live, tung Album ảnh với sản phẩm, Short Video trên các nền tảng</t>
  </si>
  <si>
    <t xml:space="preserve">Unitour</t>
  </si>
  <si>
    <t xml:space="preserve">Activations</t>
  </si>
  <si>
    <t xml:space="preserve">Quà tặng CT</t>
  </si>
  <si>
    <t xml:space="preserve">Dance Cover</t>
  </si>
  <si>
    <t/>
    <r>
      <rPr/>
      <t xml:space="preserve">Dance Viral Clip
</t>
    </r>
    <r>
      <rPr/>
      <t xml:space="preserve">Tìm kiếm nhóm nhảy biên đạo &amp; thực hiện quay bài. Plan chi tiết tại: </t>
    </r>
    <r>
      <rPr>
        <u val="single"/>
        <color theme="10"/>
      </rPr>
      <t xml:space="preserve">Dance Viral Clip</t>
    </r>
  </si>
  <si>
    <t xml:space="preserve">21.10 Tung Dance Viral Clip
15.10 Thông báo cuộc thi Dance Cover (các nhóm nhảy THPT &amp; Đại học Cao đẳng khu vực phía nam)</t>
  </si>
  <si>
    <t xml:space="preserve">50 bài cover tham gia</t>
  </si>
  <si>
    <t xml:space="preserve">Đăng các clip tham gia trên TikTok &amp; Short Video trên YouTuBe
*Trường hợp hoạt động có độ phủ &amp; Viral tốt sẽ tổ chức 1 buổi Offlne Trao giải &amp; Dance Battle (16.11, target 2 ngàn sinh viên tham gia)</t>
  </si>
  <si>
    <t xml:space="preserve">Co-Branding</t>
  </si>
  <si>
    <t xml:space="preserve">PR &amp; COM</t>
  </si>
  <si>
    <t xml:space="preserve">Co-Branding &amp; Partnership</t>
  </si>
  <si>
    <t xml:space="preserve">CGV, Dat Bike, </t>
  </si>
  <si>
    <t xml:space="preserve">Mega Live</t>
  </si>
  <si>
    <t xml:space="preserve">Sponsor - Uni Tour</t>
  </si>
  <si>
    <t xml:space="preserve">Hoạt động Activations tại trường &amp; phát voucher tăng chuyển đổi cho các chi nhánh. Ưu tiên cho chi nhánh Quận 9 &amp; Thủ Đức.</t>
  </si>
  <si>
    <t xml:space="preserve">Báo chí</t>
  </si>
  <si>
    <t xml:space="preserve">VnE, Tuổi Trẻ - Bài Phỏng vấn về Thương hiệu, Thị trường &amp; CSR</t>
  </si>
  <si>
    <t xml:space="preserve">Seeding</t>
  </si>
  <si>
    <t xml:space="preserve">Promotion</t>
  </si>
  <si>
    <t xml:space="preserve">Đa dạng hơn các hình thức, tạo combo &amp; giá cạnh tranh với mục tiêu Hút Traffic khách hàng mới. Gia tăng ưu đãi để tạo sự cạnh tranh với đối thủ</t>
  </si>
  <si>
    <t xml:space="preserve">Loyalty &amp; Affiliate Program
</t>
  </si>
  <si>
    <t xml:space="preserve">Chương trình Loyalty mới</t>
  </si>
  <si>
    <t/>
    <r>
      <rPr/>
      <t xml:space="preserve">Chốt chính sách cho các hạng thẻ: Silver, Gold, Platinum
</t>
    </r>
    <r>
      <rPr/>
      <t xml:space="preserve">CT cũ: </t>
    </r>
    <r>
      <rPr>
        <u val="single"/>
        <color theme="10"/>
      </rPr>
      <t>https://matkinhtamduc.com/tich-diem-doi-qua/?utm_source=website&amp;utm_medium=noti&amp;utm_campaign=membership&amp;utm_content=hoa</t>
    </r>
    <r>
      <rPr/>
      <t xml:space="preserve">
</t>
    </r>
    <r>
      <rPr/>
      <t xml:space="preserve">
</t>
    </r>
    <r>
      <rPr/>
      <t xml:space="preserve">CT Mới: </t>
    </r>
    <r>
      <rPr>
        <u val="single"/>
        <color theme="10"/>
      </rPr>
      <t xml:space="preserve">Loyalty &amp; Affiliate Program</t>
    </r>
    <r>
      <rPr/>
      <t xml:space="preserve">
</t>
    </r>
  </si>
  <si>
    <t xml:space="preserve">- Silver: 2.000
- Gold: 1.000
- Platinum - Khắc tên custom: 500</t>
  </si>
  <si>
    <t xml:space="preserve">- Silver: 4.000
- Gold: 2.000
- Platinum - Khắc tên custom: 1.000</t>
  </si>
  <si>
    <t xml:space="preserve">Affiliate </t>
  </si>
  <si>
    <t xml:space="preserve">1. Kết nối cộng đồng Doanh nghiệp JCI, BNI, Coach, Trainer, C-Level
2. Buiid chính sách Hoa hồng
3. Các hạng mức thẻ &amp; mức chiết khấu mua</t>
  </si>
  <si>
    <t xml:space="preserve">200 thẻ</t>
  </si>
  <si>
    <t xml:space="preserve">400 thẻ</t>
  </si>
  <si>
    <t xml:space="preserve">Triển khai Brandformance &amp; Các channel ads mới</t>
  </si>
  <si>
    <t xml:space="preserve">Kết hợp đồng thời 02 hình thức Paid Ads Brand Awareness &amp; Conversion.</t>
  </si>
  <si>
    <t xml:space="preserve">1. Kết hợp đồng thời 03 hình thức Paid Ads Brand Awareness &amp; Conversion.
2. Channel mới: TikTok, Linkedin
3. Hình thức mới Natived Ads</t>
  </si>
  <si>
    <t xml:space="preserve">1. Kết hợp đồng thời 03 hình thức Paid Ads Brand Awareness &amp; Conversion.
2. Channel mới: TikTok, Linkedin
4. Hình thức mới Natived Ads</t>
  </si>
  <si>
    <t xml:space="preserve">TÊN CHƯƠNG TRÌNH</t>
  </si>
  <si>
    <t xml:space="preserve">THỜI GIAN</t>
  </si>
  <si>
    <t xml:space="preserve">MÔ TẢ</t>
  </si>
  <si>
    <t xml:space="preserve">Sinh nhật 8 năm 21.10-15.12</t>
  </si>
  <si>
    <t xml:space="preserve">CT Thường niên</t>
  </si>
  <si>
    <t xml:space="preserve">SIÊU SALE GIẢM ĐẾN 50%
Giảm đến 20% các sản phẩm tròng</t>
  </si>
  <si>
    <t xml:space="preserve">21.10-15.12</t>
  </si>
  <si>
    <t xml:space="preserve">Thu cũ đổi mới - Tiết kiệm 900K</t>
  </si>
  <si>
    <t xml:space="preserve">CT Sinh nhật toàn hệ thống</t>
  </si>
  <si>
    <t xml:space="preserve">
Chương trình bốc thăm trúng thưởng: 8.888 quà tặng - Mua Mắt kính  - Tậu xe - Rinh vàng</t>
  </si>
  <si>
    <t xml:space="preserve">1.11-15.12</t>
  </si>
  <si>
    <t/>
    <r>
      <rPr>
        <b val="false"/>
        <i val="false"/>
        <strike val="false"/>
        <sz val="10"/>
        <color rgb="FF000000"/>
      </rPr>
      <t xml:space="preserve">Với hóa đơn bất kỳ có cơ hội tham gia Bốc thăm trúng
</t>
    </r>
    <r>
      <rPr>
        <b val="false"/>
        <i val="false"/>
        <strike val="false"/>
        <sz val="10"/>
        <color rgb="FFF54A45"/>
      </rPr>
      <t xml:space="preserve">- 1 giải đặc biệt: 01 xe máy điện Dat Bike?
- 02 giải nhất: 01 cặp nhẫn vàng 24K
</t>
    </r>
    <r>
      <rPr>
        <b val="false"/>
        <i val="false"/>
        <strike val="false"/>
        <sz val="10"/>
        <color rgb="FF000000"/>
      </rPr>
      <t xml:space="preserve">- 10 giải 3: 5 cặp Tròng kính? 5 gọng kính
- Hàng ngàn Giải khuyến khích: Sổ tay, giá đỡ điện thoại, giây đeo, voucher 100k, tròng kính Ecolite, nón bảo hiểm</t>
    </r>
  </si>
  <si>
    <t xml:space="preserve">Giảm thêm 8% khi mua Combo kính có giá trị hóa đơn từu 1tr8</t>
  </si>
  <si>
    <t xml:space="preserve">5.11-5.12</t>
  </si>
  <si>
    <t xml:space="preserve">Event Day </t>
  </si>
  <si>
    <t/>
    <r>
      <rPr>
        <b val="true"/>
        <i val="false"/>
        <strike val="false"/>
        <sz val="10"/>
        <color rgb="FFF54A45"/>
      </rPr>
      <t xml:space="preserve">Sinh nhật 8 năm - Deal Đỉnh Nóc, Quà Kịch Trần
</t>
    </r>
    <r>
      <rPr>
        <b val="true"/>
        <i val="false"/>
        <strike val="false"/>
        <sz val="10"/>
        <color rgb="FF000000"/>
      </rPr>
      <t xml:space="preserve">- Bốc thăm trúng quà/Hóa đơn bất kỳ không giới hạn số lượng
- Tặng Gọng kính best seller khi cắt tròng bất kỳ không giới hạn số lượng
- Tặng tròng Ecolite không điều kiện, không giới hạn số lượng
- Kính mát mua 1 tặng 1</t>
    </r>
  </si>
  <si>
    <t/>
    <r>
      <rPr>
        <b val="true"/>
        <i val="false"/>
        <strike val="false"/>
        <sz val="10"/>
        <color rgb="FFF54A45"/>
      </rPr>
      <t xml:space="preserve">Mega Live Sinh Nhật (Ông chú Polo +...)
</t>
    </r>
    <r>
      <rPr>
        <b val="true"/>
        <i val="false"/>
        <strike val="false"/>
        <sz val="10"/>
        <color rgb="FF000000"/>
      </rPr>
      <t xml:space="preserve">- Deal: 999 gọng kính chính hãng giảm 88%</t>
    </r>
  </si>
  <si>
    <t xml:space="preserve">5.11 (19h-21h)</t>
  </si>
  <si>
    <t xml:space="preserve">CT Đối tác Thanh toán</t>
  </si>
  <si>
    <t xml:space="preserve">VNPay</t>
  </si>
  <si>
    <t xml:space="preserve">Giảm 300k cho ZEISS Blue Protect 1.56
Giảm 350k cho Essilor Transition Classic 1.56 màu khói</t>
  </si>
  <si>
    <t xml:space="preserve">Gotit</t>
  </si>
  <si>
    <t xml:space="preserve">UrBox</t>
  </si>
  <si>
    <t xml:space="preserve">MoMo</t>
  </si>
  <si>
    <t xml:space="preserve">CT Holiday</t>
  </si>
  <si>
    <t/>
    <r>
      <rPr>
        <b val="true"/>
        <i val="false"/>
        <strike val="false"/>
        <sz val="10"/>
        <color rgb="FFF54A45"/>
      </rPr>
      <t xml:space="preserve">Ngày tri ân
</t>
    </r>
    <r>
      <rPr>
        <b val="true"/>
        <i val="false"/>
        <strike val="false"/>
        <sz val="10"/>
        <color rgb="FF000000"/>
      </rPr>
      <t xml:space="preserve">- Phiếu quà tặng
- Giảm 50% 10 mẫu gọng kính best seller
- Giảm thêm 5% combo gọng + kính cho các thầy cô giáo (Combo gọng+tròng bất kỳ)</t>
    </r>
  </si>
  <si>
    <t xml:space="preserve">Black friday - Deal sập sàn, quà liền tay:
- Tặng tròng Ecolite không điều kiện
- Gọng giảm 99% khi cắt từ tròng Chemi U2
- Kính mát: Mua 1 tặng 1</t>
  </si>
  <si>
    <t xml:space="preserve">21.11-30.11</t>
  </si>
  <si>
    <t xml:space="preserve">Uni Tour</t>
  </si>
  <si>
    <t xml:space="preserve">Tặng tròng Ecolite không điều kiện</t>
  </si>
  <si>
    <t xml:space="preserve">Combo Sinh viên (dùng Online + Voucher phát offline tài trợ)</t>
  </si>
  <si>
    <t xml:space="preserve">21.10-15.13</t>
  </si>
  <si>
    <t xml:space="preserve">TẠO VIRAL TRÊN NỀN TẢNG TIKTOK THÔNG QUA DANCER VIRAL CLIP</t>
  </si>
  <si>
    <t xml:space="preserve">Phase 1: 21.10-30.10</t>
  </si>
  <si>
    <t xml:space="preserve">Phase 2: 1.11-10.11</t>
  </si>
  <si>
    <t xml:space="preserve">Phase 3: 11.11-16.11</t>
  </si>
  <si>
    <t xml:space="preserve">Kính mới bật chất mới - Bật vũ điệu mới</t>
  </si>
  <si>
    <t/>
    <r>
      <rPr>
        <b val="true"/>
        <i val="false"/>
        <strike val="false"/>
        <u val="single"/>
        <sz val="10"/>
        <color theme="10"/>
      </rPr>
      <t xml:space="preserve">Brief:
Ref 1 Dance Thuần túy + Sản phẩm mắt kính + Đạo cụ Logo:</t>
    </r>
    <r>
      <rPr>
        <b val="false"/>
        <i val="false"/>
        <strike val="false"/>
        <u val="single"/>
        <sz val="10"/>
        <color theme="10"/>
      </rPr>
      <t xml:space="preserve"> </t>
    </r>
    <r>
      <rPr>
        <b val="false"/>
        <i val="false"/>
        <strike val="false"/>
        <u val="single"/>
        <sz val="10"/>
        <color theme="10"/>
      </rPr>
      <t>https://www.facebook.com/gapinc.vn/videos/503075825681166/?mibextid=O563ZM&amp;rdid=RNRzzNsmAAnMg2Rl</t>
    </r>
    <r>
      <rPr>
        <b val="false"/>
        <i val="false"/>
        <strike val="false"/>
        <u val="single"/>
        <sz val="10"/>
        <color theme="10"/>
      </rPr>
      <t xml:space="preserve">
</t>
    </r>
    <r>
      <rPr>
        <b val="true"/>
        <i val="false"/>
        <strike val="false"/>
        <u val="single"/>
        <sz val="10"/>
        <color theme="10"/>
      </rPr>
      <t xml:space="preserve">Ref 2: Có câu chuyện hài hước:</t>
    </r>
    <r>
      <rPr>
        <b val="false"/>
        <i val="false"/>
        <strike val="false"/>
        <u val="single"/>
        <sz val="10"/>
        <color theme="10"/>
      </rPr>
      <t xml:space="preserve"> </t>
    </r>
    <r>
      <rPr>
        <b val="false"/>
        <i val="false"/>
        <strike val="false"/>
        <u val="single"/>
        <sz val="10"/>
        <color theme="10"/>
      </rPr>
      <t>https://www.facebook.com/td.vangbacdaquykimtin/videos/843751374512744</t>
    </r>
  </si>
  <si>
    <t xml:space="preserve">Tung Dance Viral Clip</t>
  </si>
  <si>
    <t xml:space="preserve">Tổ chức cuộc thi Dance Cover</t>
  </si>
  <si>
    <t xml:space="preserve">Offline</t>
  </si>
  <si>
    <t xml:space="preserve">1 clip teaser</t>
  </si>
  <si>
    <t xml:space="preserve">50 nhóm nhảy/50 bài cover tham gia dự thi</t>
  </si>
  <si>
    <t xml:space="preserve">10 nhóm nhảy tham gia đêm chung kết</t>
  </si>
  <si>
    <t xml:space="preserve">03 clip cắt cut</t>
  </si>
  <si>
    <t xml:space="preserve">1 Clip chính</t>
  </si>
  <si>
    <t xml:space="preserve">CO-BRANDING &amp; PARTNERSHIP </t>
  </si>
  <si>
    <t xml:space="preserve">HÌNH THỨC HỢP TÁC</t>
  </si>
  <si>
    <t xml:space="preserve">Co-Branding &amp; Partnership</t>
  </si>
  <si>
    <t xml:space="preserve">Trao đổi voucher</t>
  </si>
  <si>
    <t xml:space="preserve">1. Tặng tròng Ecolite kèm điều kiện
2. Voucher giảm trực tiếp 100k áp dụng đồng thời.</t>
  </si>
  <si>
    <t xml:space="preserve">Trao đổi quyền lợi truyền thông</t>
  </si>
  <si>
    <t xml:space="preserve">Online: Social Post &amp; Banner hiển thị website
Offline: POSM cửa hàng</t>
  </si>
  <si>
    <t xml:space="preserve">SCHEME CHƯƠNG TRÌNH KHUYẾN MÃI &amp; PARTNERSHIP </t>
  </si>
  <si>
    <t xml:space="preserve">ĐỐI TÁC</t>
  </si>
  <si>
    <t xml:space="preserve">NO</t>
  </si>
  <si>
    <t xml:space="preserve">TÊN CHƯƠNG TRÌNH</t>
  </si>
  <si>
    <t xml:space="preserve">MÔ TẢ</t>
  </si>
  <si>
    <t xml:space="preserve">CO-BRANDING</t>
  </si>
  <si>
    <t xml:space="preserve">BTaskee</t>
  </si>
  <si>
    <t xml:space="preserve">Tặng free tròng kính Ecolite cho hóa đơn từ 500K</t>
  </si>
  <si>
    <t xml:space="preserve">Khi cắt tròng từ </t>
  </si>
  <si>
    <t xml:space="preserve">Tặng free gọng kính cho CTV của BTaskee có ngày sinh 20.10</t>
  </si>
  <si>
    <t xml:space="preserve">Combo kiểm soát cận thị Chemi</t>
  </si>
  <si>
    <t xml:space="preserve">Coffee &amp; Tea</t>
  </si>
  <si>
    <t xml:space="preserve">Đổi điểm thành viên nhận free Tròng kính</t>
  </si>
  <si>
    <t xml:space="preserve">Khách hàng có điểm tiêu dùng từ... nhận ngay tròng kính Ecolite từ Tâm Đức.</t>
  </si>
  <si>
    <t xml:space="preserve">Đổi điểm thành viên nhận Free nước uống từ</t>
  </si>
  <si>
    <t xml:space="preserve">Khách hàng có điểm tiêu dùng từ... nhận Free nước uống từ...</t>
  </si>
  <si>
    <t xml:space="preserve">Khách hàng nữ có ngày sinh 20.10 nhận free gọng kính từ Tâm Đức</t>
  </si>
  <si>
    <t xml:space="preserve">Dat Bike</t>
  </si>
  <si>
    <t xml:space="preserve">PARTNERSHIP</t>
  </si>
  <si>
    <t xml:space="preserve">LOYALTY PROGRAM</t>
  </si>
  <si>
    <t xml:space="preserve">ĐIỀU KIỆN NÂNG HẠNG THẺ &amp; DUY TRÌ THẺ</t>
  </si>
  <si>
    <t xml:space="preserve">Silver</t>
  </si>
  <si>
    <t xml:space="preserve"> Gold</t>
  </si>
  <si>
    <t xml:space="preserve"> Platinum</t>
  </si>
  <si>
    <t xml:space="preserve">Số điểm để đạt hạng</t>
  </si>
  <si>
    <t/>
    <r>
      <rPr>
        <b val="false"/>
        <i val="false"/>
        <strike val="false"/>
        <sz val="10"/>
        <color/>
      </rPr>
      <t xml:space="preserve">KH có điểm tích lũy lũy kế từ... đến...</t>
    </r>
    <r>
      <rPr>
        <b val="false"/>
        <i val="false"/>
        <strike val="false"/>
        <sz val="10"/>
        <color rgb="FFD83931"/>
      </rPr>
      <t xml:space="preserve"> </t>
    </r>
    <r>
      <rPr>
        <b val="false"/>
        <i val="false"/>
        <strike val="false"/>
        <sz val="10"/>
        <color/>
      </rPr>
      <t xml:space="preserve">điểm tương đương mua sắm
trên...</t>
    </r>
  </si>
  <si>
    <t/>
    <r>
      <rPr>
        <b val="false"/>
        <i val="false"/>
        <strike val="false"/>
        <sz val="10"/>
        <color/>
      </rPr>
      <t xml:space="preserve">KH có điểm tích lũy lũy kế từ [...]</t>
    </r>
    <r>
      <rPr>
        <b val="false"/>
        <i val="false"/>
        <strike val="false"/>
        <sz val="10"/>
        <color rgb="FFD83931"/>
      </rPr>
      <t xml:space="preserve"> </t>
    </r>
    <r>
      <rPr>
        <b val="false"/>
        <i val="false"/>
        <strike val="false"/>
        <sz val="10"/>
        <color/>
      </rPr>
      <t xml:space="preserve">đến [...] điểm, tương đương mua sắm
trên...</t>
    </r>
  </si>
  <si>
    <t xml:space="preserve">KH có điểm tích lũy lũy kế
từ [...] điểm, tương đương mua sắm trên [...]</t>
  </si>
  <si>
    <t xml:space="preserve">Điều kiện duy trì hạng thẻ</t>
  </si>
  <si>
    <t xml:space="preserve">Tổng chi tiêu trong năm tối thiểu từ [...]</t>
  </si>
  <si>
    <t xml:space="preserve">QUYỀN LỢI HẠNG THẺ</t>
  </si>
  <si>
    <t xml:space="preserve">Tỷ lệ tích điểm</t>
  </si>
  <si>
    <t xml:space="preserve">2% giá trị đơn hàng</t>
  </si>
  <si>
    <t xml:space="preserve">3% giá trị đơn hàng</t>
  </si>
  <si>
    <t xml:space="preserve">5% giá trị đơn hàng</t>
  </si>
  <si>
    <t xml:space="preserve">Voucher theo hạng thành viên</t>
  </si>
  <si>
    <t xml:space="preserve">Quà tặng sinh nhật</t>
  </si>
  <si>
    <t xml:space="preserve">Quà từ Tâm Đức, quà từ đối tác Co-Brand.
Giá trị quà/Hạng thành viên</t>
  </si>
  <si>
    <t xml:space="preserve">Sự kiện đặc biệt có thu phí</t>
  </si>
  <si>
    <t xml:space="preserve">Voucher chúc mừng thăng hạng</t>
  </si>
  <si>
    <t xml:space="preserve">Quy đổi điểm: 1 điểm=1000VNĐ</t>
  </si>
  <si>
    <t xml:space="preserve">- Tích điểm, tiêu tiêu điểm linh hoạt: Tích điểm sau khi mua hàng thành công, sử dụng khi mua sắm tiết kiệm hơn.
- Quà tặng riêng đặc biệt: Quà tặng sinh nhật, thăng hạng và những dịp đặc biệt.
- Trải nghiệm mua sắm "WOW": Các chương trình ưu đãi dành riêng, sự kiện độc quyền và nhiều quyền lợi hấp dẫn.</t>
  </si>
  <si>
    <t xml:space="preserve">AFFILIATE PROGRAM</t>
  </si>
  <si>
    <t/>
    <r>
      <rPr/>
      <t xml:space="preserve">Plan SEO tổng thể: </t>
    </r>
    <r>
      <rPr>
        <u val="single"/>
        <color theme="10"/>
      </rPr>
      <t xml:space="preserve">Plan SEO Tổng Thể</t>
    </r>
    <r>
      <rPr/>
      <t xml:space="preserve"> </t>
    </r>
  </si>
  <si>
    <t xml:space="preserve">NO</t>
  </si>
  <si>
    <t xml:space="preserve">HẠNG MỤC</t>
  </si>
  <si>
    <t xml:space="preserve">MÔ TẢ CHI TIẾT</t>
  </si>
  <si>
    <t xml:space="preserve">OKR</t>
  </si>
  <si>
    <t xml:space="preserve">KPI</t>
  </si>
  <si>
    <t xml:space="preserve">KPI (17.12-31.12)</t>
  </si>
  <si>
    <t xml:space="preserve">DOANH THU</t>
  </si>
  <si>
    <t xml:space="preserve">BUDGET</t>
  </si>
  <si>
    <t xml:space="preserve">CT Thường niên</t>
  </si>
  <si>
    <t xml:space="preserve">SIÊU SALE GIẢM ĐẾN 50%
Giảm đến 20% các sản phẩm tròng</t>
  </si>
  <si>
    <t xml:space="preserve">Thu cũ đổi mới</t>
  </si>
  <si>
    <t xml:space="preserve">CT Holiday</t>
  </si>
  <si>
    <t xml:space="preserve">Noel 
</t>
  </si>
  <si>
    <t xml:space="preserve">BUDGET ALOCATION</t>
  </si>
  <si>
    <t xml:space="preserve">Tết Dương lịch</t>
  </si>
  <si>
    <t xml:space="preserve">PAID MEDIA</t>
  </si>
  <si>
    <t xml:space="preserve">Facebook Ads</t>
  </si>
  <si>
    <t xml:space="preserve">SEM</t>
  </si>
  <si>
    <t xml:space="preserve">SEO</t>
  </si>
  <si>
    <t xml:space="preserve">Native Ads</t>
  </si>
  <si>
    <t xml:space="preserve">Youtube Ads</t>
  </si>
  <si>
    <t xml:space="preserve">GDN</t>
  </si>
  <si>
    <t xml:space="preserve">BRAND &amp; COMMUNICATION</t>
  </si>
  <si>
    <t xml:space="preserve">Website</t>
  </si>
  <si>
    <t xml:space="preserve">FANPAGE</t>
  </si>
  <si>
    <t xml:space="preserve">INSTAGRAM</t>
  </si>
  <si>
    <t xml:space="preserve">FLATFORM</t>
  </si>
  <si>
    <t xml:space="preserve">THÁNG 6</t>
  </si>
  <si>
    <t xml:space="preserve">KPI THÁNG 7 (Tăng 110%)</t>
  </si>
  <si>
    <t xml:space="preserve">RESULT</t>
  </si>
  <si>
    <t xml:space="preserve">TỶ LỆ ĐẠT</t>
  </si>
  <si>
    <t xml:space="preserve">T7</t>
  </si>
  <si>
    <t xml:space="preserve">Fanpage - Reach organic</t>
  </si>
  <si>
    <t xml:space="preserve">Instagram Reach</t>
  </si>
  <si>
    <t xml:space="preserve">Fanpage Reels - Views organic</t>
  </si>
  <si>
    <t xml:space="preserve">Instagram Engagement </t>
  </si>
  <si>
    <t xml:space="preserve">Fanpage Engagement organic</t>
  </si>
  <si>
    <t xml:space="preserve">THÁNG 7</t>
  </si>
  <si>
    <t xml:space="preserve">KPI THÁNG 8 (Tăng 110%)</t>
  </si>
  <si>
    <t xml:space="preserve">T8</t>
  </si>
  <si>
    <t xml:space="preserve">Reach organic</t>
  </si>
  <si>
    <t xml:space="preserve">Views organic</t>
  </si>
  <si>
    <t xml:space="preserve">Engagement organic</t>
  </si>
  <si>
    <t xml:space="preserve">Followers</t>
  </si>
  <si>
    <t xml:space="preserve">THÁNG 8</t>
  </si>
  <si>
    <t xml:space="preserve">KPI THÁNG 9 (Tăng 130%)</t>
  </si>
  <si>
    <t xml:space="preserve">RESULT (01-19.09)</t>
  </si>
  <si>
    <t xml:space="preserve">T9</t>
  </si>
  <si>
    <t xml:space="preserve">Reach</t>
  </si>
  <si>
    <t xml:space="preserve">Engagement</t>
  </si>
  <si>
    <t xml:space="preserve">ZALO OA</t>
  </si>
  <si>
    <t xml:space="preserve">Số người dùng xem nội dung</t>
  </si>
  <si>
    <t xml:space="preserve">Số người dùng gửi tin nhắn</t>
  </si>
  <si>
    <t xml:space="preserve">Số người quan tâm mới</t>
  </si>
  <si>
    <t xml:space="preserve">Số người dùng xem thông tin trang</t>
  </si>
  <si>
    <t xml:space="preserve"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</si>
</sst>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#,##0"/>
    <numFmt numFmtId="165" formatCode="0%"/>
    <numFmt numFmtId="166" formatCode="#,##0&quot; ₫&quot;[$-vi-VN]_);(#,##0&quot; ₫&quot;[$-vi-VN])"/>
    <numFmt numFmtId="167" formatCode="0"/>
    <numFmt numFmtId="168" formatCode="0.00%"/>
    <numFmt numFmtId="169" formatCode="#,##0&quot; ₫&quot;[$-vi-VN]_);(#,##0&quot; ₫&quot;[$-vi-VN])"/>
    <numFmt numFmtId="170" formatCode="0%"/>
    <numFmt numFmtId="171" formatCode="#,##0"/>
    <numFmt numFmtId="172" formatCode="#,##0&quot; ₫&quot;[$-vi-VN]_);(#,##0&quot; ₫&quot;[$-vi-VN])"/>
    <numFmt numFmtId="173" formatCode="#,##0&quot; ₫&quot;[$-vi-VN]_);(#,##0&quot; ₫&quot;[$-vi-VN])"/>
    <numFmt numFmtId="174" formatCode="0%"/>
    <numFmt numFmtId="175" formatCode="#,##0"/>
    <numFmt numFmtId="176" formatCode="0%"/>
    <numFmt numFmtId="177" formatCode="#,##0&quot; ₫&quot;[$-vi-VN]_);(#,##0&quot; ₫&quot;[$-vi-VN])"/>
    <numFmt numFmtId="178" formatCode="#,##0"/>
    <numFmt numFmtId="179" formatCode="0.00%"/>
  </numFmts>
  <fonts count="39">
    <font>
      <sz val="10"/>
      <color theme="1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b val="true"/>
      <u val="single"/>
      <sz val="14"/>
      <color rgb="FF2EA12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2"/>
      <color rgb="FFD8393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0"/>
      <color rgb="FFD83931"/>
      <name val="Calibri"/>
      <family val="2"/>
      <scheme val="minor"/>
    </font>
    <font>
      <sz val="11"/>
      <color rgb="FF1F2329"/>
      <name val="Calibri"/>
      <family val="2"/>
      <scheme val="minor"/>
    </font>
    <font>
      <b val="true"/>
      <sz val="11"/>
      <color rgb="FFD83931"/>
      <name val="Calibri"/>
      <family val="2"/>
      <scheme val="minor"/>
    </font>
    <font>
      <b val="true"/>
      <i val="true"/>
      <sz val="10"/>
      <color rgb="FF000000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b val="true"/>
      <u val="single"/>
      <sz val="12"/>
      <color rgb="FFF54A45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b val="true"/>
      <sz val="11"/>
      <color rgb="FFF54A45"/>
      <name val="Calibri"/>
      <family val="2"/>
      <scheme val="minor"/>
    </font>
    <font>
      <i val="true"/>
      <sz val="10"/>
      <color rgb="FF000000"/>
      <name val="Calibri"/>
      <family val="2"/>
      <scheme val="minor"/>
    </font>
    <font>
      <sz val="10"/>
      <color rgb="FFD83931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i val="true"/>
      <sz val="10"/>
      <color rgb="FFD8393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b val="true"/>
      <sz val="11"/>
      <color rgb="FF1F2329"/>
      <name val="Calibri"/>
      <family val="2"/>
      <scheme val="minor"/>
    </font>
    <font>
      <b val="true"/>
      <sz val="14"/>
      <color rgb="FFF54A45"/>
      <name val="Calibri"/>
      <family val="2"/>
      <scheme val="minor"/>
    </font>
    <font>
      <b val="true"/>
      <sz val="14"/>
      <color rgb="FFFFFFFF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sz val="10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9"/>
      <color rgb="FF343436"/>
      <name val="Calibri"/>
      <family val="2"/>
      <scheme val="minor"/>
    </font>
  </fonts>
  <fills count="2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EA121"/>
        <bgColor/>
      </patternFill>
    </fill>
    <fill>
      <patternFill patternType="solid">
        <fgColor rgb="FFD9F5D6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FFBA6B"/>
        <bgColor/>
      </patternFill>
    </fill>
    <fill>
      <patternFill patternType="solid">
        <fgColor rgb="FF2EA121"/>
        <bgColor/>
      </patternFill>
    </fill>
    <fill>
      <patternFill patternType="solid">
        <fgColor rgb="FFD9F5D6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D9F5D6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8EE085"/>
        <bgColor/>
      </patternFill>
    </fill>
    <fill>
      <patternFill patternType="solid">
        <fgColor rgb="FFD9F5D6"/>
        <bgColor/>
      </patternFill>
    </fill>
    <fill>
      <patternFill patternType="solid">
        <fgColor rgb="FF2EA121"/>
        <bgColor/>
      </patternFill>
    </fill>
    <fill>
      <patternFill patternType="solid">
        <fgColor rgb="FFD9F5D6"/>
        <bgColor/>
      </patternFill>
    </fill>
    <fill>
      <patternFill patternType="solid">
        <fgColor rgb="FF2EA121"/>
        <bgColor/>
      </patternFill>
    </fill>
    <fill>
      <patternFill patternType="solid">
        <fgColor rgb="FFD9F5D6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FAF1D1"/>
        <bgColor/>
      </patternFill>
    </fill>
    <fill>
      <patternFill patternType="solid">
        <fgColor rgb="FF2EA121"/>
        <bgColor/>
      </patternFill>
    </fill>
    <fill>
      <patternFill patternType="solid">
        <fgColor rgb="FF4E83FD"/>
        <bgColor/>
      </patternFill>
    </fill>
    <fill>
      <patternFill patternType="solid">
        <fgColor rgb="FFF14BA9"/>
        <bgColor/>
      </patternFill>
    </fill>
    <fill>
      <patternFill patternType="solid">
        <fgColor rgb="FFBACEFD"/>
        <bgColor/>
      </patternFill>
    </fill>
    <fill>
      <patternFill patternType="solid">
        <fgColor rgb="FFFDDDEF"/>
        <bgColor/>
      </patternFill>
    </fill>
  </fills>
  <borders count="8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3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164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true" applyProtection="false" borderId="0" fillId="0" fontId="9" numFmtId="165" xfId="0">
      <alignment horizontal="center" vertical="center"/>
    </xf>
    <xf applyAlignment="true" applyBorder="false" applyFill="true" applyFont="true" applyNumberFormat="false" applyProtection="false" borderId="1" fillId="2" fontId="10" numFmtId="0" xfId="0">
      <alignment horizontal="center" vertical="center"/>
    </xf>
    <xf applyAlignment="true" applyBorder="false" applyFill="true" applyFont="true" applyNumberFormat="false" applyProtection="false" borderId="1" fillId="2" fontId="10" numFmtId="0" xfId="0">
      <alignment horizontal="center" vertical="center"/>
    </xf>
    <xf applyAlignment="true" applyBorder="false" applyFill="true" applyFont="true" applyNumberFormat="false" applyProtection="false" borderId="2" fillId="2" fontId="10" numFmtId="0" xfId="0">
      <alignment horizontal="center" vertical="center"/>
    </xf>
    <xf applyAlignment="true" applyBorder="false" applyFill="true" applyFont="true" applyNumberFormat="false" applyProtection="false" borderId="3" fillId="2" fontId="10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1" fillId="0" fontId="9" numFmtId="0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horizontal="center" vertical="center"/>
    </xf>
    <xf applyAlignment="true" applyBorder="false" applyFill="false" applyFont="true" applyNumberFormat="false" applyProtection="false" borderId="4" fillId="0" fontId="12" numFmtId="0" xfId="0">
      <alignment horizontal="center" vertical="center"/>
    </xf>
    <xf applyAlignment="true" applyBorder="false" applyFill="false" applyFont="true" applyNumberFormat="true" applyProtection="false" borderId="5" fillId="0" fontId="11" numFmtId="166" xfId="0">
      <alignment horizontal="center" vertical="center"/>
    </xf>
    <xf applyAlignment="true" applyBorder="false" applyFill="false" applyFont="true" applyNumberFormat="true" applyProtection="false" borderId="5" fillId="0" fontId="11" numFmtId="166" xfId="0">
      <alignment horizontal="center" vertical="center"/>
    </xf>
    <xf applyAlignment="true" applyBorder="false" applyFill="false" applyFont="true" applyNumberFormat="true" applyProtection="false" borderId="0" fillId="0" fontId="11" numFmtId="166" xfId="0">
      <alignment vertical="center"/>
    </xf>
    <xf applyAlignment="true" applyBorder="false" applyFill="true" applyFont="true" applyNumberFormat="true" applyProtection="false" borderId="1" fillId="3" fontId="13" numFmtId="164" xfId="0">
      <alignment horizontal="center" vertical="center"/>
    </xf>
    <xf applyAlignment="true" applyBorder="false" applyFill="true" applyFont="true" applyNumberFormat="true" applyProtection="false" borderId="1" fillId="3" fontId="14" numFmtId="164" xfId="0">
      <alignment horizontal="center" vertical="center"/>
    </xf>
    <xf applyAlignment="true" applyBorder="false" applyFill="false" applyFont="true" applyNumberFormat="true" applyProtection="false" borderId="6" fillId="0" fontId="11" numFmtId="164" xfId="0">
      <alignment horizontal="center" vertical="center"/>
    </xf>
    <xf applyAlignment="true" applyBorder="false" applyFill="false" applyFont="true" applyNumberFormat="true" applyProtection="false" borderId="1" fillId="0" fontId="11" numFmtId="164" xfId="0">
      <alignment horizontal="center" vertical="center"/>
    </xf>
    <xf applyAlignment="true" applyBorder="false" applyFill="false" applyFont="true" applyNumberFormat="true" applyProtection="false" borderId="1" fillId="0" fontId="15" numFmtId="164" xfId="0">
      <alignment horizontal="center" vertical="center"/>
    </xf>
    <xf applyAlignment="true" applyBorder="false" applyFill="true" applyFont="true" applyNumberFormat="true" applyProtection="false" borderId="1" fillId="3" fontId="16" numFmtId="164" xfId="0">
      <alignment horizontal="center" vertical="center"/>
    </xf>
    <xf applyAlignment="true" applyBorder="false" applyFill="true" applyFont="true" applyNumberFormat="true" applyProtection="false" borderId="1" fillId="3" fontId="14" numFmtId="164" xfId="0">
      <alignment horizontal="center" vertical="center"/>
    </xf>
    <xf applyAlignment="true" applyBorder="false" applyFill="false" applyFont="true" applyNumberFormat="true" applyProtection="false" borderId="6" fillId="0" fontId="9" numFmtId="164" xfId="0">
      <alignment horizontal="center" vertical="center"/>
    </xf>
    <xf applyAlignment="true" applyBorder="false" applyFill="false" applyFont="true" applyNumberFormat="true" applyProtection="false" borderId="1" fillId="0" fontId="16" numFmtId="164" xfId="0">
      <alignment horizontal="center" vertical="center"/>
    </xf>
    <xf applyAlignment="true" applyBorder="false" applyFill="false" applyFont="true" applyNumberFormat="true" applyProtection="false" borderId="4" fillId="0" fontId="12" numFmtId="165" xfId="0">
      <alignment horizontal="center" vertical="center"/>
    </xf>
    <xf applyAlignment="true" applyBorder="false" applyFill="false" applyFont="true" applyNumberFormat="true" applyProtection="false" borderId="5" fillId="0" fontId="11" numFmtId="166" xfId="0">
      <alignment horizontal="center" vertical="center"/>
    </xf>
    <xf applyAlignment="true" applyBorder="false" applyFill="false" applyFont="true" applyNumberFormat="false" applyProtection="false" borderId="4" fillId="0" fontId="17" numFmtId="0" xfId="0">
      <alignment horizontal="center" vertical="center"/>
    </xf>
    <xf applyAlignment="true" applyBorder="false" applyFill="false" applyFont="true" applyNumberFormat="false" applyProtection="false" borderId="4" fillId="0" fontId="17" numFmtId="0" xfId="0">
      <alignment horizontal="center" vertical="center"/>
    </xf>
    <xf applyAlignment="true" applyBorder="false" applyFill="false" applyFont="true" applyNumberFormat="true" applyProtection="false" borderId="7" fillId="0" fontId="11" numFmtId="166" xfId="0">
      <alignment horizontal="center" vertical="center"/>
    </xf>
    <xf applyAlignment="true" applyBorder="false" applyFill="true" applyFont="true" applyNumberFormat="true" applyProtection="false" borderId="8" fillId="3" fontId="18" numFmtId="166" xfId="0">
      <alignment horizontal="center" vertical="center"/>
    </xf>
    <xf applyAlignment="true" applyBorder="false" applyFill="false" applyFont="true" applyNumberFormat="false" applyProtection="false" borderId="1" fillId="0" fontId="19" numFmtId="0" xfId="0">
      <alignment vertical="center"/>
    </xf>
    <xf applyAlignment="true" applyBorder="false" applyFill="false" applyFont="true" applyNumberFormat="false" applyProtection="false" borderId="1" fillId="0" fontId="19" numFmtId="0" xfId="0">
      <alignment vertical="center"/>
    </xf>
    <xf applyAlignment="true" applyBorder="false" applyFill="true" applyFont="true" applyNumberFormat="false" applyProtection="false" borderId="4" fillId="3" fontId="9" numFmtId="0" xfId="0">
      <alignment horizontal="center" vertical="center"/>
    </xf>
    <xf applyAlignment="true" applyBorder="false" applyFill="true" applyFont="true" applyNumberFormat="true" applyProtection="false" borderId="5" fillId="3" fontId="9" numFmtId="166" xfId="0">
      <alignment horizontal="center" vertical="center"/>
    </xf>
    <xf applyAlignment="true" applyBorder="false" applyFill="true" applyFont="true" applyNumberFormat="true" applyProtection="false" borderId="5" fillId="3" fontId="20" numFmtId="166" xfId="0">
      <alignment horizontal="center" vertical="center"/>
    </xf>
    <xf applyAlignment="true" applyBorder="false" applyFill="true" applyFont="true" applyNumberFormat="true" applyProtection="false" borderId="7" fillId="3" fontId="20" numFmtId="166" xfId="0">
      <alignment horizontal="center" vertical="center"/>
    </xf>
    <xf applyAlignment="true" applyBorder="false" applyFill="true" applyFont="true" applyNumberFormat="true" applyProtection="false" borderId="1" fillId="3" fontId="18" numFmtId="166" xfId="0">
      <alignment horizontal="center" vertical="center"/>
    </xf>
    <xf applyAlignment="true" applyBorder="false" applyFill="true" applyFont="true" applyNumberFormat="false" applyProtection="false" borderId="0" fillId="4" fontId="10" numFmtId="0" xfId="0">
      <alignment vertical="center"/>
    </xf>
    <xf applyAlignment="true" applyBorder="false" applyFill="true" applyFont="true" applyNumberFormat="false" applyProtection="false" borderId="0" fillId="4" fontId="10" numFmtId="0" xfId="0">
      <alignment vertical="center"/>
    </xf>
    <xf applyAlignment="true" applyBorder="false" applyFill="false" applyFont="true" applyNumberFormat="false" applyProtection="false" borderId="8" fillId="0" fontId="9" numFmtId="0" xfId="0">
      <alignment horizontal="center" vertical="center"/>
    </xf>
    <xf applyAlignment="true" applyBorder="false" applyFill="false" applyFont="true" applyNumberFormat="true" applyProtection="false" borderId="0" fillId="0" fontId="13" numFmtId="166" xfId="0">
      <alignment horizontal="center" vertical="center"/>
    </xf>
    <xf applyAlignment="true" applyBorder="false" applyFill="true" applyFont="true" applyNumberFormat="true" applyProtection="false" borderId="1" fillId="3" fontId="18" numFmtId="164" xfId="0">
      <alignment horizontal="center" vertical="center"/>
    </xf>
    <xf applyAlignment="true" applyBorder="false" applyFill="false" applyFont="true" applyNumberFormat="false" applyProtection="false" borderId="0" fillId="0" fontId="21" numFmtId="0" xfId="0">
      <alignment vertical="center"/>
    </xf>
    <xf applyAlignment="true" applyBorder="false" applyFill="true" applyFont="true" applyNumberFormat="false" applyProtection="false" borderId="5" fillId="2" fontId="10" numFmtId="0" xfId="0">
      <alignment horizontal="center" vertical="center"/>
    </xf>
    <xf applyAlignment="true" applyBorder="false" applyFill="true" applyFont="true" applyNumberFormat="false" applyProtection="false" borderId="5" fillId="2" fontId="10" numFmtId="0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false" applyFont="true" applyNumberFormat="false" applyProtection="false" borderId="4" fillId="0" fontId="18" numFmtId="0" xfId="0">
      <alignment horizontal="center" vertical="center"/>
    </xf>
    <xf applyAlignment="true" applyBorder="false" applyFill="false" applyFont="true" applyNumberFormat="false" applyProtection="false" borderId="5" fillId="0" fontId="18" numFmtId="0" xfId="0">
      <alignment horizontal="center" vertical="center"/>
    </xf>
    <xf applyAlignment="true" applyBorder="false" applyFill="false" applyFont="true" applyNumberFormat="true" applyProtection="false" borderId="5" fillId="0" fontId="16" numFmtId="164" xfId="0">
      <alignment horizontal="center" vertical="center"/>
    </xf>
    <xf applyAlignment="true" applyBorder="false" applyFill="false" applyFont="true" applyNumberFormat="true" applyProtection="false" borderId="0" fillId="0" fontId="11" numFmtId="164" xfId="0">
      <alignment horizontal="center" vertical="center"/>
    </xf>
    <xf applyAlignment="true" applyBorder="false" applyFill="false" applyFont="true" applyNumberFormat="true" applyProtection="false" borderId="0" fillId="0" fontId="11" numFmtId="164" xfId="0">
      <alignment horizontal="center" vertical="center"/>
    </xf>
    <xf applyAlignment="true" applyBorder="false" applyFill="false" applyFont="true" applyNumberFormat="true" applyProtection="false" borderId="0" fillId="0" fontId="11" numFmtId="167" xfId="0">
      <alignment horizontal="center" vertical="center"/>
    </xf>
    <xf applyAlignment="true" applyBorder="false" applyFill="false" applyFont="true" applyNumberFormat="true" applyProtection="false" borderId="4" fillId="0" fontId="15" numFmtId="164" xfId="0">
      <alignment horizontal="center" vertical="center"/>
    </xf>
    <xf applyAlignment="true" applyBorder="false" applyFill="false" applyFont="true" applyNumberFormat="true" applyProtection="false" borderId="5" fillId="0" fontId="15" numFmtId="164" xfId="0">
      <alignment horizontal="center" vertical="center"/>
    </xf>
    <xf applyAlignment="true" applyBorder="false" applyFill="true" applyFont="true" applyNumberFormat="false" applyProtection="false" borderId="5" fillId="2" fontId="22" numFmtId="0" xfId="0">
      <alignment horizontal="center" vertical="center"/>
    </xf>
    <xf applyAlignment="true" applyBorder="false" applyFill="false" applyFont="true" applyNumberFormat="true" applyProtection="false" borderId="0" fillId="0" fontId="15" numFmtId="164" xfId="0">
      <alignment horizontal="center" vertical="center"/>
    </xf>
    <xf applyAlignment="true" applyBorder="false" applyFill="false" applyFont="true" applyNumberFormat="true" applyProtection="false" borderId="0" fillId="0" fontId="15" numFmtId="167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true" applyFont="true" applyNumberFormat="false" applyProtection="false" borderId="7" fillId="2" fontId="22" numFmtId="0" xfId="0">
      <alignment horizontal="center" vertical="center"/>
    </xf>
    <xf applyAlignment="true" applyBorder="false" applyFill="true" applyFont="true" applyNumberFormat="true" applyProtection="false" borderId="8" fillId="3" fontId="23" numFmtId="168" xfId="0">
      <alignment horizontal="center" vertical="center"/>
    </xf>
    <xf applyAlignment="true" applyBorder="false" applyFill="false" applyFont="true" applyNumberFormat="false" applyProtection="false" borderId="0" fillId="0" fontId="24" numFmtId="0" xfId="0">
      <alignment horizontal="center" vertical="center"/>
    </xf>
    <xf applyAlignment="true" applyBorder="false" applyFill="false" applyFont="true" applyNumberFormat="false" applyProtection="false" borderId="1" fillId="0" fontId="24" numFmtId="0" xfId="0">
      <alignment horizontal="center" vertical="center"/>
    </xf>
    <xf applyAlignment="true" applyBorder="false" applyFill="false" applyFont="true" applyNumberFormat="true" applyProtection="false" borderId="4" fillId="0" fontId="24" numFmtId="164" xfId="0">
      <alignment horizontal="center" vertical="center"/>
    </xf>
    <xf applyAlignment="true" applyBorder="false" applyFill="false" applyFont="true" applyNumberFormat="true" applyProtection="false" borderId="5" fillId="0" fontId="24" numFmtId="164" xfId="0">
      <alignment horizontal="center" vertical="center"/>
    </xf>
    <xf applyAlignment="true" applyBorder="false" applyFill="false" applyFont="true" applyNumberFormat="true" applyProtection="false" borderId="1" fillId="0" fontId="24" numFmtId="165" xfId="0">
      <alignment horizontal="center" vertical="center"/>
    </xf>
    <xf applyAlignment="true" applyBorder="false" applyFill="false" applyFont="true" applyNumberFormat="true" applyProtection="false" borderId="0" fillId="0" fontId="24" numFmtId="164" xfId="0">
      <alignment horizontal="center" vertical="center"/>
    </xf>
    <xf applyAlignment="true" applyBorder="false" applyFill="false" applyFont="true" applyNumberFormat="false" applyProtection="false" borderId="5" fillId="0" fontId="19" numFmtId="0" xfId="0">
      <alignment vertical="center" wrapText="true"/>
    </xf>
    <xf applyAlignment="true" applyBorder="false" applyFill="false" applyFont="true" applyNumberFormat="false" applyProtection="false" borderId="0" fillId="0" fontId="24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9" fillId="0" fontId="11" numFmtId="0" xfId="0">
      <alignment vertical="center"/>
    </xf>
    <xf applyAlignment="true" applyBorder="false" applyFill="true" applyFont="true" applyNumberFormat="false" applyProtection="false" borderId="9" fillId="2" fontId="10" numFmtId="0" xfId="0">
      <alignment horizontal="center" vertical="center"/>
    </xf>
    <xf applyAlignment="true" applyBorder="false" applyFill="true" applyFont="true" applyNumberFormat="false" applyProtection="false" borderId="9" fillId="2" fontId="10" numFmtId="0" xfId="0">
      <alignment horizontal="center" vertical="center"/>
    </xf>
    <xf applyAlignment="true" applyBorder="false" applyFill="true" applyFont="true" applyNumberFormat="true" applyProtection="false" borderId="10" fillId="2" fontId="10" numFmtId="164" xfId="0">
      <alignment horizontal="center" vertical="center"/>
    </xf>
    <xf applyAlignment="true" applyBorder="false" applyFill="true" applyFont="true" applyNumberFormat="true" applyProtection="false" borderId="11" fillId="2" fontId="10" numFmtId="164" xfId="0">
      <alignment horizontal="center" vertical="center"/>
    </xf>
    <xf applyAlignment="true" applyBorder="false" applyFill="true" applyFont="true" applyNumberFormat="false" applyProtection="false" borderId="12" fillId="2" fontId="10" numFmtId="0" xfId="0">
      <alignment horizontal="center" vertical="center"/>
    </xf>
    <xf applyAlignment="true" applyBorder="false" applyFill="true" applyFont="true" applyNumberFormat="true" applyProtection="false" borderId="13" fillId="2" fontId="10" numFmtId="164" xfId="0">
      <alignment horizontal="center" vertical="center"/>
    </xf>
    <xf applyAlignment="true" applyBorder="false" applyFill="true" applyFont="true" applyNumberFormat="true" applyProtection="false" borderId="14" fillId="2" fontId="10" numFmtId="164" xfId="0">
      <alignment horizontal="center" vertical="center"/>
    </xf>
    <xf applyAlignment="true" applyBorder="false" applyFill="true" applyFont="true" applyNumberFormat="false" applyProtection="false" borderId="5" fillId="2" fontId="10" numFmtId="0" xfId="0">
      <alignment horizontal="left" vertical="center" wrapText="true"/>
    </xf>
    <xf applyAlignment="true" applyBorder="false" applyFill="true" applyFont="true" applyNumberFormat="false" applyProtection="false" borderId="5" fillId="3" fontId="9" numFmtId="0" xfId="0">
      <alignment horizontal="left" vertical="center" wrapText="true"/>
    </xf>
    <xf applyAlignment="true" applyBorder="false" applyFill="true" applyFont="true" applyNumberFormat="false" applyProtection="false" borderId="7" fillId="3" fontId="9" numFmtId="0" xfId="0">
      <alignment horizontal="left" vertical="center" wrapText="true"/>
    </xf>
    <xf applyAlignment="true" applyBorder="false" applyFill="true" applyFont="true" applyNumberFormat="false" applyProtection="false" borderId="15" fillId="3" fontId="9" numFmtId="0" xfId="0">
      <alignment horizontal="left" vertical="center" wrapText="true"/>
    </xf>
    <xf applyAlignment="true" applyBorder="false" applyFill="true" applyFont="true" applyNumberFormat="false" applyProtection="false" borderId="1" fillId="3" fontId="9" numFmtId="0" xfId="0">
      <alignment horizontal="left" vertical="center" wrapText="true"/>
    </xf>
    <xf applyAlignment="true" applyBorder="false" applyFill="true" applyFont="true" applyNumberFormat="false" applyProtection="false" borderId="5" fillId="2" fontId="10" numFmtId="0" xfId="0">
      <alignment horizontal="left" vertical="center" wrapText="true"/>
    </xf>
    <xf applyAlignment="true" applyBorder="false" applyFill="false" applyFont="true" applyNumberFormat="false" applyProtection="false" borderId="5" fillId="0" fontId="16" numFmtId="0" xfId="0">
      <alignment horizontal="left" vertical="center" wrapText="true"/>
    </xf>
    <xf applyAlignment="true" applyBorder="false" applyFill="false" applyFont="true" applyNumberFormat="false" applyProtection="false" borderId="5" fillId="0" fontId="25" numFmtId="0" xfId="0">
      <alignment horizontal="left" vertical="center" wrapText="true"/>
    </xf>
    <xf applyAlignment="true" applyBorder="false" applyFill="false" applyFont="true" applyNumberFormat="false" applyProtection="false" borderId="3" fillId="0" fontId="25" numFmtId="0" xfId="0">
      <alignment horizontal="left" vertical="center" wrapText="true"/>
    </xf>
    <xf applyAlignment="true" applyBorder="false" applyFill="true" applyFont="true" applyNumberFormat="false" applyProtection="false" borderId="5" fillId="3" fontId="9" numFmtId="0" xfId="0">
      <alignment horizontal="left" vertical="center" wrapText="true"/>
    </xf>
    <xf applyAlignment="true" applyBorder="false" applyFill="false" applyFont="true" applyNumberFormat="true" applyProtection="false" borderId="5" fillId="0" fontId="16" numFmtId="165" xfId="0">
      <alignment horizontal="center" vertical="center" wrapText="true"/>
    </xf>
    <xf applyAlignment="true" applyBorder="false" applyFill="false" applyFont="true" applyNumberFormat="true" applyProtection="false" borderId="7" fillId="0" fontId="16" numFmtId="165" xfId="0">
      <alignment horizontal="center" vertical="center" wrapText="true"/>
    </xf>
    <xf applyAlignment="true" applyBorder="false" applyFill="false" applyFont="true" applyNumberFormat="true" applyProtection="false" borderId="16" fillId="0" fontId="16" numFmtId="165" xfId="0">
      <alignment horizontal="center" vertical="center" wrapText="true"/>
    </xf>
    <xf applyAlignment="true" applyBorder="false" applyFill="false" applyFont="true" applyNumberFormat="true" applyProtection="false" borderId="5" fillId="0" fontId="25" numFmtId="165" xfId="0">
      <alignment horizontal="center" vertical="center" wrapText="true"/>
    </xf>
    <xf applyAlignment="true" applyBorder="false" applyFill="false" applyFont="true" applyNumberFormat="true" applyProtection="false" borderId="7" fillId="0" fontId="25" numFmtId="165" xfId="0">
      <alignment horizontal="center" vertical="center" wrapText="true"/>
    </xf>
    <xf applyAlignment="true" applyBorder="false" applyFill="false" applyFont="true" applyNumberFormat="true" applyProtection="false" borderId="8" fillId="0" fontId="25" numFmtId="165" xfId="0">
      <alignment horizontal="center" vertical="center" wrapText="true"/>
    </xf>
    <xf applyAlignment="true" applyBorder="false" applyFill="false" applyFont="true" applyNumberFormat="true" applyProtection="false" borderId="5" fillId="0" fontId="26" numFmtId="165" xfId="0">
      <alignment horizontal="center" vertical="center" wrapText="true"/>
    </xf>
    <xf applyAlignment="true" applyBorder="false" applyFill="false" applyFont="true" applyNumberFormat="true" applyProtection="false" borderId="7" fillId="0" fontId="26" numFmtId="165" xfId="0">
      <alignment horizontal="center" vertical="center" wrapText="true"/>
    </xf>
    <xf applyAlignment="true" applyBorder="false" applyFill="false" applyFont="true" applyNumberFormat="true" applyProtection="false" borderId="15" fillId="0" fontId="26" numFmtId="165" xfId="0">
      <alignment horizontal="center" vertical="center" wrapText="true"/>
    </xf>
    <xf applyAlignment="true" applyBorder="false" applyFill="false" applyFont="true" applyNumberFormat="true" applyProtection="false" borderId="1" fillId="0" fontId="26" numFmtId="165" xfId="0">
      <alignment horizontal="center" vertical="center" wrapText="true"/>
    </xf>
    <xf applyAlignment="true" applyBorder="false" applyFill="false" applyFont="true" applyNumberFormat="true" applyProtection="false" borderId="10" fillId="0" fontId="16" numFmtId="165" xfId="0">
      <alignment horizontal="center" vertical="center" wrapText="true"/>
    </xf>
    <xf applyAlignment="true" applyBorder="false" applyFill="false" applyFont="true" applyNumberFormat="true" applyProtection="false" borderId="1" fillId="0" fontId="25" numFmtId="165" xfId="0">
      <alignment horizontal="center" vertical="center" wrapText="true"/>
    </xf>
    <xf applyAlignment="true" applyBorder="false" applyFill="false" applyFont="true" applyNumberFormat="true" applyProtection="false" borderId="5" fillId="0" fontId="16" numFmtId="164" xfId="0">
      <alignment horizontal="center" vertical="center" wrapText="true"/>
    </xf>
    <xf applyAlignment="true" applyBorder="false" applyFill="false" applyFont="true" applyNumberFormat="true" applyProtection="false" borderId="7" fillId="0" fontId="16" numFmtId="164" xfId="0">
      <alignment horizontal="center" vertical="center" wrapText="true"/>
    </xf>
    <xf applyAlignment="true" applyBorder="false" applyFill="false" applyFont="true" applyNumberFormat="true" applyProtection="false" borderId="5" fillId="0" fontId="25" numFmtId="164" xfId="0">
      <alignment horizontal="center" vertical="center" wrapText="true"/>
    </xf>
    <xf applyAlignment="true" applyBorder="false" applyFill="false" applyFont="true" applyNumberFormat="true" applyProtection="false" borderId="7" fillId="0" fontId="25" numFmtId="164" xfId="0">
      <alignment horizontal="center" vertical="center" wrapText="true"/>
    </xf>
    <xf applyAlignment="true" applyBorder="false" applyFill="false" applyFont="true" applyNumberFormat="true" applyProtection="false" borderId="1" fillId="0" fontId="25" numFmtId="164" xfId="0">
      <alignment horizontal="center" vertical="center" wrapText="true"/>
    </xf>
    <xf applyAlignment="true" applyBorder="false" applyFill="false" applyFont="true" applyNumberFormat="true" applyProtection="false" borderId="3" fillId="0" fontId="25" numFmtId="164" xfId="0">
      <alignment horizontal="center" vertical="center" wrapText="true"/>
    </xf>
    <xf applyAlignment="true" applyBorder="false" applyFill="false" applyFont="true" applyNumberFormat="false" applyProtection="false" borderId="5" fillId="0" fontId="16" numFmtId="0" xfId="0">
      <alignment horizontal="center" vertical="center" wrapText="true"/>
    </xf>
    <xf applyAlignment="true" applyBorder="false" applyFill="false" applyFont="true" applyNumberFormat="false" applyProtection="false" borderId="17" fillId="0" fontId="16" numFmtId="0" xfId="0">
      <alignment horizontal="center" vertical="center" wrapText="true"/>
    </xf>
    <xf applyAlignment="true" applyBorder="false" applyFill="false" applyFont="true" applyNumberFormat="false" applyProtection="false" borderId="5" fillId="0" fontId="25" numFmtId="0" xfId="0">
      <alignment horizontal="center" vertical="center" wrapText="true"/>
    </xf>
    <xf applyAlignment="true" applyBorder="false" applyFill="false" applyFont="true" applyNumberFormat="false" applyProtection="false" borderId="7" fillId="0" fontId="25" numFmtId="0" xfId="0">
      <alignment horizontal="center" vertical="center" wrapText="true"/>
    </xf>
    <xf applyAlignment="true" applyBorder="false" applyFill="false" applyFont="true" applyNumberFormat="false" applyProtection="false" borderId="8" fillId="0" fontId="25" numFmtId="0" xfId="0">
      <alignment horizontal="center" vertical="center" wrapText="true"/>
    </xf>
    <xf applyAlignment="true" applyBorder="false" applyFill="false" applyFont="true" applyNumberFormat="false" applyProtection="false" borderId="5" fillId="0" fontId="11" numFmtId="0" xfId="0">
      <alignment horizontal="left" vertical="center" wrapText="true"/>
    </xf>
    <xf applyAlignment="true" applyBorder="false" applyFill="false" applyFont="true" applyNumberFormat="false" applyProtection="false" borderId="7" fillId="0" fontId="11" numFmtId="0" xfId="0">
      <alignment horizontal="center" vertical="center" wrapText="true"/>
    </xf>
    <xf applyAlignment="true" applyBorder="false" applyFill="false" applyFont="true" applyNumberFormat="false" applyProtection="false" borderId="15" fillId="0" fontId="11" numFmtId="0" xfId="0">
      <alignment horizontal="center" vertical="center" wrapText="true"/>
    </xf>
    <xf applyAlignment="true" applyBorder="false" applyFill="false" applyFont="true" applyNumberFormat="false" applyProtection="false" borderId="1" fillId="0" fontId="11" numFmtId="0" xfId="0">
      <alignment horizontal="center" vertical="center" wrapText="true"/>
    </xf>
    <xf applyAlignment="true" applyBorder="false" applyFill="false" applyFont="true" applyNumberFormat="false" applyProtection="false" borderId="5" fillId="0" fontId="11" numFmtId="0" xfId="0">
      <alignment horizontal="center" vertical="center" wrapText="true"/>
    </xf>
    <xf applyAlignment="true" applyBorder="false" applyFill="false" applyFont="true" applyNumberFormat="false" applyProtection="false" borderId="17" fillId="0" fontId="11" numFmtId="0" xfId="0">
      <alignment horizontal="center" vertical="center" wrapText="true"/>
    </xf>
    <xf applyAlignment="true" applyBorder="false" applyFill="false" applyFont="true" applyNumberFormat="false" applyProtection="false" borderId="8" fillId="0" fontId="11" numFmtId="0" xfId="0">
      <alignment horizontal="center" vertical="center" wrapText="true"/>
    </xf>
    <xf applyAlignment="true" applyBorder="false" applyFill="false" applyFont="true" applyNumberFormat="false" applyProtection="false" borderId="5" fillId="0" fontId="13" numFmtId="0" xfId="0">
      <alignment horizontal="center" vertical="center" wrapText="true"/>
    </xf>
    <xf applyAlignment="true" applyBorder="false" applyFill="false" applyFont="true" applyNumberFormat="false" applyProtection="false" borderId="7" fillId="0" fontId="27" numFmtId="0" xfId="0">
      <alignment horizontal="center" vertical="center" wrapText="true"/>
    </xf>
    <xf applyAlignment="true" applyBorder="false" applyFill="false" applyFont="true" applyNumberFormat="false" applyProtection="false" borderId="1" fillId="0" fontId="27" numFmtId="0" xfId="0">
      <alignment horizontal="center" vertical="center" wrapText="true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3" fillId="0" fontId="13" numFmtId="0" xfId="0">
      <alignment horizontal="center" vertical="center" wrapText="true"/>
    </xf>
    <xf applyAlignment="true" applyBorder="false" applyFill="false" applyFont="true" applyNumberFormat="false" applyProtection="false" borderId="17" fillId="0" fontId="13" numFmtId="0" xfId="0">
      <alignment horizontal="center" vertical="center" wrapText="true"/>
    </xf>
    <xf applyAlignment="true" applyBorder="false" applyFill="false" applyFont="true" applyNumberFormat="false" applyProtection="false" borderId="5" fillId="0" fontId="27" numFmtId="0" xfId="0">
      <alignment horizontal="center" vertical="center" wrapText="true"/>
    </xf>
    <xf applyAlignment="true" applyBorder="false" applyFill="false" applyFont="true" applyNumberFormat="false" applyProtection="false" borderId="9" fillId="0" fontId="27" numFmtId="0" xfId="0">
      <alignment horizontal="center" vertical="center" wrapText="true"/>
    </xf>
    <xf applyAlignment="true" applyBorder="false" applyFill="false" applyFont="true" applyNumberFormat="false" applyProtection="false" borderId="7" fillId="0" fontId="13" numFmtId="0" xfId="0">
      <alignment horizontal="left" vertical="center" wrapText="true"/>
    </xf>
    <xf applyAlignment="true" applyBorder="false" applyFill="false" applyFont="true" applyNumberFormat="false" applyProtection="false" borderId="1" fillId="0" fontId="13" numFmtId="0" xfId="0">
      <alignment horizontal="center" vertical="center" wrapText="true"/>
    </xf>
    <xf applyAlignment="true" applyBorder="false" applyFill="false" applyFont="true" applyNumberFormat="false" applyProtection="false" borderId="7" fillId="0" fontId="27" numFmtId="0" xfId="0">
      <alignment horizontal="left" vertical="center" wrapText="true"/>
    </xf>
    <xf applyAlignment="true" applyBorder="false" applyFill="false" applyFont="true" applyNumberFormat="false" applyProtection="false" borderId="8" fillId="0" fontId="27" numFmtId="0" xfId="0">
      <alignment horizontal="center" vertical="center" wrapText="true"/>
    </xf>
    <xf applyAlignment="true" applyBorder="false" applyFill="false" applyFont="true" applyNumberFormat="false" applyProtection="false" borderId="10" fillId="0" fontId="13" numFmtId="0" xfId="0">
      <alignment horizontal="center" vertical="center" wrapText="true"/>
    </xf>
    <xf applyAlignment="true" applyBorder="false" applyFill="false" applyFont="true" applyNumberFormat="false" applyProtection="false" borderId="15" fillId="0" fontId="27" numFmtId="0" xfId="0">
      <alignment horizontal="center" vertical="center" wrapText="true"/>
    </xf>
    <xf applyAlignment="true" applyBorder="false" applyFill="true" applyFont="true" applyNumberFormat="false" applyProtection="false" borderId="3" fillId="2" fontId="10" numFmtId="0" xfId="0">
      <alignment horizontal="left" vertical="center" wrapText="true"/>
    </xf>
    <xf applyAlignment="true" applyBorder="false" applyFill="true" applyFont="true" applyNumberFormat="false" applyProtection="false" borderId="3" fillId="3" fontId="9" numFmtId="0" xfId="0">
      <alignment horizontal="left" vertical="center" wrapText="true"/>
    </xf>
    <xf applyAlignment="true" applyBorder="false" applyFill="false" applyFont="true" applyNumberFormat="false" applyProtection="false" borderId="3" fillId="0" fontId="20" numFmtId="0" xfId="0">
      <alignment horizontal="left" vertical="center" wrapText="true"/>
    </xf>
    <xf applyAlignment="true" applyBorder="false" applyFill="false" applyFont="true" applyNumberFormat="false" applyProtection="false" borderId="17" fillId="0" fontId="20" numFmtId="0" xfId="0">
      <alignment horizontal="left" vertical="center" wrapText="true"/>
    </xf>
    <xf applyAlignment="true" applyBorder="false" applyFill="false" applyFont="true" applyNumberFormat="false" applyProtection="false" borderId="1" fillId="0" fontId="26" numFmtId="0" xfId="0">
      <alignment horizontal="left" vertical="center" wrapText="true"/>
    </xf>
    <xf applyAlignment="true" applyBorder="false" applyFill="false" applyFont="true" applyNumberFormat="false" applyProtection="false" borderId="11" fillId="0" fontId="26" numFmtId="0" xfId="0">
      <alignment horizontal="left" vertical="center" wrapText="true"/>
    </xf>
    <xf applyAlignment="true" applyBorder="false" applyFill="true" applyFont="true" applyNumberFormat="false" applyProtection="false" borderId="3" fillId="2" fontId="10" numFmtId="0" xfId="0">
      <alignment horizontal="left" vertical="center" wrapText="true"/>
    </xf>
    <xf applyAlignment="true" applyBorder="false" applyFill="true" applyFont="true" applyNumberFormat="false" applyProtection="false" borderId="3" fillId="3" fontId="9" numFmtId="0" xfId="0">
      <alignment horizontal="left" vertical="center" wrapText="true"/>
    </xf>
    <xf applyAlignment="true" applyBorder="false" applyFill="false" applyFont="true" applyNumberFormat="false" applyProtection="false" borderId="3" fillId="0" fontId="26" numFmtId="0" xfId="0">
      <alignment horizontal="left" vertical="center" wrapText="true"/>
    </xf>
    <xf applyAlignment="true" applyBorder="false" applyFill="false" applyFont="true" applyNumberFormat="false" applyProtection="false" borderId="3" fillId="0" fontId="20" numFmtId="0" xfId="0">
      <alignment horizontal="center" vertical="center" wrapText="true"/>
    </xf>
    <xf applyAlignment="true" applyBorder="false" applyFill="true" applyFont="true" applyNumberFormat="false" applyProtection="false" borderId="17" fillId="2" fontId="10" numFmtId="0" xfId="0">
      <alignment horizontal="left" vertical="center" wrapText="true"/>
    </xf>
    <xf applyAlignment="true" applyBorder="false" applyFill="false" applyFont="true" applyNumberFormat="false" applyProtection="false" borderId="5" fillId="0" fontId="20" numFmtId="0" xfId="0">
      <alignment horizontal="left" vertical="center" wrapText="true"/>
    </xf>
    <xf applyAlignment="true" applyBorder="false" applyFill="false" applyFont="true" applyNumberFormat="false" applyProtection="false" borderId="5" fillId="0" fontId="20" numFmtId="0" xfId="0">
      <alignment horizontal="left" vertical="center" wrapText="true"/>
    </xf>
    <xf applyAlignment="true" applyBorder="false" applyFill="false" applyFont="true" applyNumberFormat="false" applyProtection="false" borderId="7" fillId="0" fontId="20" numFmtId="0" xfId="0">
      <alignment horizontal="left" vertical="center" wrapText="true"/>
    </xf>
    <xf applyAlignment="true" applyBorder="false" applyFill="false" applyFont="true" applyNumberFormat="false" applyProtection="false" borderId="5" fillId="0" fontId="28" numFmtId="0" xfId="0">
      <alignment vertical="center"/>
    </xf>
    <xf applyAlignment="true" applyBorder="false" applyFill="false" applyFont="true" applyNumberFormat="false" applyProtection="false" borderId="7" fillId="0" fontId="28" numFmtId="0" xfId="0">
      <alignment vertical="center"/>
    </xf>
    <xf applyAlignment="true" applyBorder="false" applyFill="false" applyFont="true" applyNumberFormat="false" applyProtection="false" borderId="1" fillId="0" fontId="28" numFmtId="0" xfId="0">
      <alignment vertical="center"/>
    </xf>
    <xf applyAlignment="true" applyBorder="false" applyFill="false" applyFont="true" applyNumberFormat="false" applyProtection="false" borderId="1" fillId="0" fontId="28" numFmtId="0" xfId="0">
      <alignment vertical="center"/>
    </xf>
    <xf applyAlignment="true" applyBorder="false" applyFill="false" applyFont="true" applyNumberFormat="false" applyProtection="false" borderId="11" fillId="0" fontId="28" numFmtId="0" xfId="0">
      <alignment vertical="center"/>
    </xf>
    <xf applyAlignment="true" applyBorder="false" applyFill="false" applyFont="true" applyNumberFormat="false" applyProtection="false" borderId="0" fillId="0" fontId="29" numFmtId="0" xfId="0">
      <alignment horizontal="center" vertical="center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true" applyFont="true" applyNumberFormat="false" applyProtection="false" borderId="18" fillId="5" fontId="22" numFmtId="0" xfId="0">
      <alignment horizontal="center" vertical="center"/>
    </xf>
    <xf applyAlignment="true" applyBorder="false" applyFill="false" applyFont="true" applyNumberFormat="false" applyProtection="false" borderId="0" fillId="0" fontId="22" numFmtId="0" xfId="0">
      <alignment horizontal="center" vertical="center"/>
    </xf>
    <xf applyAlignment="true" applyBorder="false" applyFill="false" applyFont="true" applyNumberFormat="false" applyProtection="false" borderId="19" fillId="0" fontId="20" numFmtId="0" xfId="0">
      <alignment horizontal="center" vertical="center"/>
    </xf>
    <xf applyAlignment="true" applyBorder="false" applyFill="false" applyFont="true" applyNumberFormat="false" applyProtection="false" borderId="0" fillId="0" fontId="30" numFmtId="0" xfId="0">
      <alignment horizontal="center" vertical="center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false" applyFont="true" applyNumberFormat="true" applyProtection="false" borderId="19" fillId="0" fontId="13" numFmtId="169" xfId="0">
      <alignment horizontal="center" vertical="center"/>
    </xf>
    <xf applyAlignment="true" applyBorder="false" applyFill="false" applyFont="true" applyNumberFormat="false" applyProtection="false" borderId="0" fillId="0" fontId="29" numFmtId="0" xfId="0">
      <alignment horizontal="center" vertical="center"/>
    </xf>
    <xf applyAlignment="true" applyBorder="false" applyFill="true" applyFont="true" applyNumberFormat="true" applyProtection="false" borderId="19" fillId="5" fontId="22" numFmtId="169" xfId="0">
      <alignment horizontal="center" vertical="center"/>
    </xf>
    <xf applyAlignment="true" applyBorder="false" applyFill="false" applyFont="true" applyNumberFormat="false" applyProtection="false" borderId="19" fillId="0" fontId="13" numFmtId="0" xfId="0">
      <alignment horizontal="left" vertical="center"/>
    </xf>
    <xf applyAlignment="true" applyBorder="false" applyFill="false" applyFont="true" applyNumberFormat="false" applyProtection="false" borderId="19" fillId="0" fontId="9" numFmtId="0" xfId="0">
      <alignment horizontal="right" vertical="center"/>
    </xf>
    <xf applyAlignment="true" applyBorder="false" applyFill="false" applyFont="true" applyNumberFormat="true" applyProtection="false" borderId="0" fillId="0" fontId="13" numFmtId="169" xfId="0">
      <alignment horizontal="left" vertical="center"/>
    </xf>
    <xf applyAlignment="true" applyBorder="false" applyFill="false" applyFont="true" applyNumberFormat="true" applyProtection="false" borderId="0" fillId="0" fontId="13" numFmtId="169" xfId="0">
      <alignment horizontal="left" vertical="center"/>
    </xf>
    <xf applyAlignment="true" applyBorder="false" applyFill="false" applyFont="true" applyNumberFormat="false" applyProtection="false" borderId="0" fillId="0" fontId="30" numFmtId="0" xfId="0">
      <alignment vertical="center"/>
    </xf>
    <xf applyAlignment="true" applyBorder="false" applyFill="false" applyFont="true" applyNumberFormat="false" applyProtection="false" borderId="19" fillId="0" fontId="9" numFmtId="0" xfId="0">
      <alignment horizontal="right" vertical="center" wrapText="true"/>
    </xf>
    <xf applyAlignment="true" applyBorder="false" applyFill="false" applyFont="true" applyNumberFormat="true" applyProtection="false" borderId="19" fillId="0" fontId="20" numFmtId="169" xfId="0">
      <alignment horizontal="right" vertical="center"/>
    </xf>
    <xf applyAlignment="true" applyBorder="false" applyFill="false" applyFont="true" applyNumberFormat="true" applyProtection="false" borderId="19" fillId="0" fontId="20" numFmtId="169" xfId="0">
      <alignment horizontal="right" vertical="center" wrapText="true"/>
    </xf>
    <xf applyAlignment="true" applyBorder="false" applyFill="false" applyFont="true" applyNumberFormat="true" applyProtection="false" borderId="0" fillId="0" fontId="13" numFmtId="169" xfId="0">
      <alignment horizontal="center" vertical="center"/>
    </xf>
    <xf applyAlignment="true" applyBorder="false" applyFill="true" applyFont="true" applyNumberFormat="false" applyProtection="false" borderId="19" fillId="5" fontId="22" numFmtId="0" xfId="0">
      <alignment horizontal="center" vertical="center"/>
    </xf>
    <xf applyAlignment="true" applyBorder="false" applyFill="true" applyFont="true" applyNumberFormat="false" applyProtection="false" borderId="20" fillId="5" fontId="22" numFmtId="0" xfId="0">
      <alignment horizontal="center" vertical="center"/>
    </xf>
    <xf applyAlignment="true" applyBorder="false" applyFill="true" applyFont="true" applyNumberFormat="false" applyProtection="false" borderId="19" fillId="6" fontId="30" numFmtId="0" xfId="0">
      <alignment horizontal="center" vertical="center"/>
    </xf>
    <xf applyAlignment="true" applyBorder="false" applyFill="true" applyFont="true" applyNumberFormat="false" applyProtection="false" borderId="21" fillId="7" fontId="10" numFmtId="0" xfId="0">
      <alignment horizontal="left" vertical="center" wrapText="true"/>
    </xf>
    <xf applyAlignment="true" applyBorder="false" applyFill="true" applyFont="true" applyNumberFormat="false" applyProtection="false" borderId="19" fillId="8" fontId="9" numFmtId="0" xfId="0">
      <alignment horizontal="left" vertical="center" wrapText="true"/>
    </xf>
    <xf applyAlignment="true" applyBorder="false" applyFill="true" applyFont="true" applyNumberFormat="false" applyProtection="false" borderId="22" fillId="8" fontId="9" numFmtId="0" xfId="0">
      <alignment horizontal="left" vertical="center" wrapText="true"/>
    </xf>
    <xf applyAlignment="true" applyBorder="false" applyFill="false" applyFont="true" applyNumberFormat="false" applyProtection="false" borderId="19" fillId="0" fontId="29" numFmtId="0" xfId="0">
      <alignment vertical="center"/>
    </xf>
    <xf applyAlignment="true" applyBorder="false" applyFill="true" applyFont="true" applyNumberFormat="false" applyProtection="false" borderId="23" fillId="7" fontId="10" numFmtId="0" xfId="0">
      <alignment horizontal="left" vertical="center" wrapText="true"/>
    </xf>
    <xf applyAlignment="true" applyBorder="false" applyFill="false" applyFont="true" applyNumberFormat="true" applyProtection="false" borderId="24" fillId="0" fontId="16" numFmtId="170" xfId="0">
      <alignment horizontal="center" vertical="center" wrapText="true"/>
    </xf>
    <xf applyAlignment="true" applyBorder="false" applyFill="false" applyFont="true" applyNumberFormat="false" applyProtection="false" borderId="19" fillId="0" fontId="29" numFmtId="0" xfId="0">
      <alignment vertical="center" wrapText="true"/>
    </xf>
    <xf applyAlignment="true" applyBorder="false" applyFill="false" applyFont="true" applyNumberFormat="true" applyProtection="false" borderId="24" fillId="0" fontId="16" numFmtId="171" xfId="0">
      <alignment horizontal="center" vertical="center" wrapText="true"/>
    </xf>
    <xf applyAlignment="true" applyBorder="false" applyFill="true" applyFont="true" applyNumberFormat="false" applyProtection="false" borderId="23" fillId="7" fontId="10" numFmtId="0" xfId="0">
      <alignment horizontal="left" vertical="center" wrapText="true"/>
    </xf>
    <xf applyAlignment="true" applyBorder="false" applyFill="false" applyFont="true" applyNumberFormat="false" applyProtection="false" borderId="24" fillId="0" fontId="16" numFmtId="0" xfId="0">
      <alignment horizontal="center" vertical="center" wrapText="true"/>
    </xf>
    <xf applyAlignment="true" applyBorder="false" applyFill="false" applyFont="true" applyNumberFormat="false" applyProtection="false" borderId="19" fillId="0" fontId="26" numFmtId="0" xfId="0">
      <alignment horizontal="center" vertical="center" wrapText="true"/>
    </xf>
    <xf applyAlignment="true" applyBorder="false" applyFill="false" applyFont="true" applyNumberFormat="false" applyProtection="false" borderId="19" fillId="0" fontId="26" numFmtId="0" xfId="0">
      <alignment horizontal="left" vertical="center" wrapText="true"/>
    </xf>
    <xf applyAlignment="true" applyBorder="false" applyFill="false" applyFont="true" applyNumberFormat="false" applyProtection="false" borderId="0" fillId="0" fontId="13" numFmtId="0" xfId="0">
      <alignment horizontal="center" vertical="center" wrapText="true"/>
    </xf>
    <xf applyAlignment="true" applyBorder="false" applyFill="false" applyFont="true" applyNumberFormat="false" applyProtection="false" borderId="0" fillId="0" fontId="20" numFmtId="0" xfId="0">
      <alignment horizontal="left" vertical="center" wrapText="true"/>
    </xf>
    <xf applyAlignment="true" applyBorder="false" applyFill="false" applyFont="true" applyNumberFormat="false" applyProtection="false" borderId="0" fillId="0" fontId="26" numFmtId="0" xfId="0">
      <alignment horizontal="left" vertical="center" wrapText="true"/>
    </xf>
    <xf applyAlignment="true" applyBorder="false" applyFill="true" applyFont="true" applyNumberFormat="false" applyProtection="false" borderId="25" fillId="7" fontId="31" numFmtId="0" xfId="0">
      <alignment horizontal="center" vertical="center" wrapText="true"/>
    </xf>
    <xf applyAlignment="true" applyBorder="false" applyFill="true" applyFont="true" applyNumberFormat="false" applyProtection="false" borderId="25" fillId="7" fontId="31" numFmtId="0" xfId="0">
      <alignment horizontal="center" vertical="center" wrapText="true"/>
    </xf>
    <xf applyAlignment="true" applyBorder="false" applyFill="false" applyFont="true" applyNumberFormat="false" applyProtection="false" borderId="0" fillId="0" fontId="9" numFmtId="0" xfId="0">
      <alignment horizontal="left" vertical="center" wrapText="true"/>
    </xf>
    <xf applyAlignment="true" applyBorder="false" applyFill="false" applyFont="true" applyNumberFormat="false" applyProtection="false" borderId="0" fillId="0" fontId="11" numFmtId="0" xfId="0">
      <alignment horizontal="left" vertical="center" wrapText="true"/>
    </xf>
    <xf applyAlignment="true" applyBorder="false" applyFill="true" applyFont="true" applyNumberFormat="false" applyProtection="false" borderId="19" fillId="8" fontId="23" numFmtId="0" xfId="0">
      <alignment horizontal="center" vertical="center" wrapText="true"/>
    </xf>
    <xf applyAlignment="true" applyBorder="false" applyFill="true" applyFont="true" applyNumberFormat="false" applyProtection="false" borderId="19" fillId="8" fontId="23" numFmtId="0" xfId="0">
      <alignment horizontal="left" vertical="center" wrapText="true"/>
    </xf>
    <xf applyAlignment="true" applyBorder="false" applyFill="false" applyFont="true" applyNumberFormat="false" applyProtection="false" borderId="26" fillId="0" fontId="13" numFmtId="0" xfId="0">
      <alignment horizontal="center" vertical="center" wrapText="true"/>
    </xf>
    <xf applyAlignment="true" applyBorder="false" applyFill="false" applyFont="true" applyNumberFormat="false" applyProtection="false" borderId="27" fillId="0" fontId="26" numFmtId="0" xfId="0">
      <alignment horizontal="center" vertical="center" wrapText="true"/>
    </xf>
    <xf applyAlignment="true" applyBorder="false" applyFill="false" applyFont="true" applyNumberFormat="false" applyProtection="false" borderId="28" fillId="0" fontId="20" numFmtId="0" xfId="0">
      <alignment horizontal="left" vertical="center" wrapText="true"/>
    </xf>
    <xf applyAlignment="true" applyBorder="false" applyFill="false" applyFont="true" applyNumberFormat="false" applyProtection="false" borderId="29" fillId="0" fontId="20" numFmtId="0" xfId="0">
      <alignment horizontal="center" vertical="center" wrapText="true"/>
    </xf>
    <xf applyAlignment="true" applyBorder="false" applyFill="false" applyFont="true" applyNumberFormat="false" applyProtection="false" borderId="29" fillId="0" fontId="26" numFmtId="0" xfId="0">
      <alignment horizontal="left" vertical="center" wrapText="true"/>
    </xf>
    <xf applyAlignment="true" applyBorder="false" applyFill="false" applyFont="true" applyNumberFormat="false" applyProtection="false" borderId="19" fillId="0" fontId="26" numFmtId="0" xfId="0">
      <alignment horizontal="center" vertical="center" wrapText="true"/>
    </xf>
    <xf applyAlignment="true" applyBorder="false" applyFill="false" applyFont="true" applyNumberFormat="false" applyProtection="false" borderId="30" fillId="0" fontId="20" numFmtId="0" xfId="0">
      <alignment horizontal="left" vertical="center" wrapText="true"/>
    </xf>
    <xf applyAlignment="true" applyBorder="false" applyFill="false" applyFont="true" applyNumberFormat="false" applyProtection="false" borderId="24" fillId="0" fontId="26" numFmtId="0" xfId="0">
      <alignment horizontal="left" vertical="center" wrapText="true"/>
    </xf>
    <xf applyAlignment="true" applyBorder="false" applyFill="false" applyFont="true" applyNumberFormat="false" applyProtection="false" borderId="31" fillId="0" fontId="26" numFmtId="0" xfId="0">
      <alignment horizontal="left" vertical="center" wrapText="true"/>
    </xf>
    <xf applyAlignment="true" applyBorder="false" applyFill="false" applyFont="true" applyNumberFormat="false" applyProtection="false" borderId="32" fillId="0" fontId="9" numFmtId="0" xfId="0">
      <alignment horizontal="left" vertical="center" wrapText="true"/>
    </xf>
    <xf applyAlignment="true" applyBorder="false" applyFill="false" applyFont="true" applyNumberFormat="false" applyProtection="false" borderId="24" fillId="0" fontId="9" numFmtId="0" xfId="0">
      <alignment horizontal="center" vertical="center" wrapText="true"/>
    </xf>
    <xf applyAlignment="true" applyBorder="false" applyFill="false" applyFont="true" applyNumberFormat="false" applyProtection="false" borderId="24" fillId="0" fontId="11" numFmtId="0" xfId="0">
      <alignment horizontal="left" vertical="center" wrapText="true"/>
    </xf>
    <xf applyAlignment="true" applyBorder="false" applyFill="false" applyFont="true" applyNumberFormat="false" applyProtection="false" borderId="30" fillId="0" fontId="9" numFmtId="0" xfId="0">
      <alignment horizontal="left" vertical="center" wrapText="true"/>
    </xf>
    <xf applyAlignment="true" applyBorder="false" applyFill="false" applyFont="true" applyNumberFormat="false" applyProtection="false" borderId="29" fillId="0" fontId="11" numFmtId="0" xfId="0">
      <alignment horizontal="left" vertical="center" wrapText="true"/>
    </xf>
    <xf applyAlignment="true" applyBorder="false" applyFill="false" applyFont="true" applyNumberFormat="false" applyProtection="false" borderId="26" fillId="0" fontId="13" numFmtId="0" xfId="0">
      <alignment horizontal="center" vertical="center" wrapText="true"/>
    </xf>
    <xf applyAlignment="true" applyBorder="false" applyFill="false" applyFont="true" applyNumberFormat="false" applyProtection="false" borderId="29" fillId="0" fontId="11" numFmtId="0" xfId="0">
      <alignment horizontal="left" vertical="center" wrapText="true"/>
    </xf>
    <xf applyAlignment="true" applyBorder="false" applyFill="false" applyFont="true" applyNumberFormat="false" applyProtection="false" borderId="0" fillId="0" fontId="13" numFmtId="0" xfId="0">
      <alignment vertical="center" wrapText="true"/>
    </xf>
    <xf applyAlignment="true" applyBorder="false" applyFill="false" applyFont="true" applyNumberFormat="false" applyProtection="false" borderId="19" fillId="0" fontId="26" numFmtId="0" xfId="0">
      <alignment horizontal="center" vertical="center" wrapText="true"/>
    </xf>
    <xf applyAlignment="true" applyBorder="false" applyFill="false" applyFont="true" applyNumberFormat="false" applyProtection="false" borderId="30" fillId="0" fontId="9" numFmtId="0" xfId="0">
      <alignment horizontal="left" vertical="center" wrapText="true"/>
    </xf>
    <xf applyAlignment="true" applyBorder="false" applyFill="false" applyFont="true" applyNumberFormat="false" applyProtection="false" borderId="29" fillId="0" fontId="11" numFmtId="0" xfId="0">
      <alignment horizontal="left" vertical="center" wrapText="true"/>
    </xf>
    <xf applyAlignment="true" applyBorder="false" applyFill="false" applyFont="true" applyNumberFormat="false" applyProtection="false" borderId="30" fillId="0" fontId="9" numFmtId="0" xfId="0">
      <alignment horizontal="left" vertical="center" wrapText="true"/>
    </xf>
    <xf applyAlignment="true" applyBorder="false" applyFill="false" applyFont="true" applyNumberFormat="false" applyProtection="false" borderId="29" fillId="0" fontId="9" numFmtId="0" xfId="0">
      <alignment horizontal="center" vertical="center" wrapText="true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false" applyFont="true" applyNumberFormat="false" applyProtection="false" borderId="0" fillId="0" fontId="29" numFmtId="0" xfId="0">
      <alignment horizontal="right" vertical="center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false" applyFont="true" applyNumberFormat="false" applyProtection="false" borderId="0" fillId="0" fontId="29" numFmtId="0" xfId="0">
      <alignment vertical="center" wrapText="true"/>
    </xf>
    <xf applyAlignment="true" applyBorder="false" applyFill="false" applyFont="true" applyNumberFormat="false" applyProtection="false" borderId="0" fillId="0" fontId="29" numFmtId="0" xfId="0">
      <alignment horizontal="center" vertical="center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true" applyFont="true" applyNumberFormat="false" applyProtection="false" borderId="33" fillId="9" fontId="22" numFmtId="0" xfId="0">
      <alignment horizontal="center" vertical="center"/>
    </xf>
    <xf applyAlignment="true" applyBorder="false" applyFill="true" applyFont="true" applyNumberFormat="false" applyProtection="false" borderId="33" fillId="9" fontId="22" numFmtId="0" xfId="0">
      <alignment horizontal="center" vertical="center" wrapText="true"/>
    </xf>
    <xf applyAlignment="true" applyBorder="false" applyFill="true" applyFont="true" applyNumberFormat="false" applyProtection="false" borderId="33" fillId="9" fontId="22" numFmtId="0" xfId="0">
      <alignment horizontal="right" vertical="center"/>
    </xf>
    <xf applyAlignment="true" applyBorder="false" applyFill="false" applyFont="true" applyNumberFormat="false" applyProtection="false" borderId="0" fillId="0" fontId="22" numFmtId="0" xfId="0">
      <alignment horizontal="center" vertical="center"/>
    </xf>
    <xf applyAlignment="true" applyBorder="false" applyFill="false" applyFont="true" applyNumberFormat="false" applyProtection="false" borderId="0" fillId="0" fontId="22" numFmtId="0" xfId="0">
      <alignment horizontal="center" vertical="center"/>
    </xf>
    <xf applyAlignment="true" applyBorder="false" applyFill="false" applyFont="true" applyNumberFormat="false" applyProtection="false" borderId="0" fillId="0" fontId="29" numFmtId="0" xfId="0">
      <alignment horizontal="center" vertical="center"/>
    </xf>
    <xf applyAlignment="true" applyBorder="false" applyFill="false" applyFont="true" applyNumberFormat="false" applyProtection="false" borderId="33" fillId="0" fontId="20" numFmtId="0" xfId="0">
      <alignment horizontal="center" vertical="center"/>
    </xf>
    <xf applyAlignment="true" applyBorder="false" applyFill="false" applyFont="true" applyNumberFormat="false" applyProtection="false" borderId="33" fillId="0" fontId="20" numFmtId="0" xfId="0">
      <alignment horizontal="center" vertical="center" wrapText="true"/>
    </xf>
    <xf applyAlignment="true" applyBorder="false" applyFill="false" applyFont="true" applyNumberFormat="false" applyProtection="false" borderId="33" fillId="0" fontId="20" numFmtId="0" xfId="0">
      <alignment horizontal="right" vertical="center"/>
    </xf>
    <xf applyAlignment="true" applyBorder="false" applyFill="false" applyFont="true" applyNumberFormat="false" applyProtection="false" borderId="0" fillId="0" fontId="13" numFmtId="0" xfId="0">
      <alignment horizontal="center" vertical="center"/>
    </xf>
    <xf applyAlignment="true" applyBorder="false" applyFill="false" applyFont="true" applyNumberFormat="true" applyProtection="false" borderId="0" fillId="0" fontId="13" numFmtId="172" xfId="0">
      <alignment horizontal="center" vertical="center"/>
    </xf>
    <xf applyAlignment="true" applyBorder="false" applyFill="false" applyFont="true" applyNumberFormat="false" applyProtection="false" borderId="0" fillId="0" fontId="13" numFmtId="0" xfId="0">
      <alignment horizontal="center" vertical="center"/>
    </xf>
    <xf applyAlignment="true" applyBorder="false" applyFill="false" applyFont="true" applyNumberFormat="true" applyProtection="false" borderId="0" fillId="0" fontId="13" numFmtId="172" xfId="0">
      <alignment horizontal="center" vertical="center"/>
    </xf>
    <xf applyAlignment="true" applyBorder="false" applyFill="false" applyFont="true" applyNumberFormat="false" applyProtection="false" borderId="0" fillId="0" fontId="32" numFmtId="0" xfId="0">
      <alignment horizontal="center" vertical="center" wrapText="true"/>
    </xf>
    <xf applyAlignment="true" applyBorder="false" applyFill="false" applyFont="true" applyNumberFormat="false" applyProtection="false" borderId="0" fillId="0" fontId="13" numFmtId="0" xfId="0">
      <alignment horizontal="left" vertical="center" wrapText="true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30" numFmtId="0" xfId="0">
      <alignment horizontal="right" vertical="center"/>
    </xf>
    <xf applyAlignment="true" applyBorder="false" applyFill="false" applyFont="true" applyNumberFormat="true" applyProtection="false" borderId="33" fillId="0" fontId="13" numFmtId="172" xfId="0">
      <alignment horizontal="center" vertical="center"/>
    </xf>
    <xf applyAlignment="true" applyBorder="false" applyFill="false" applyFont="true" applyNumberFormat="true" applyProtection="false" borderId="33" fillId="0" fontId="13" numFmtId="172" xfId="0">
      <alignment horizontal="center" vertical="center" wrapText="true"/>
    </xf>
    <xf applyAlignment="true" applyBorder="false" applyFill="false" applyFont="true" applyNumberFormat="true" applyProtection="false" borderId="33" fillId="0" fontId="13" numFmtId="172" xfId="0">
      <alignment horizontal="right" vertical="center"/>
    </xf>
    <xf applyAlignment="true" applyBorder="false" applyFill="false" applyFont="true" applyNumberFormat="false" applyProtection="false" borderId="0" fillId="0" fontId="9" numFmtId="0" xfId="0">
      <alignment horizontal="right" vertical="center"/>
    </xf>
    <xf applyAlignment="true" applyBorder="false" applyFill="false" applyFont="true" applyNumberFormat="true" applyProtection="false" borderId="0" fillId="0" fontId="29" numFmtId="172" xfId="0">
      <alignment vertical="center" wrapText="true"/>
    </xf>
    <xf applyAlignment="true" applyBorder="false" applyFill="false" applyFont="true" applyNumberFormat="false" applyProtection="false" borderId="0" fillId="0" fontId="32" numFmtId="0" xfId="0">
      <alignment horizontal="center" vertical="center" wrapText="true"/>
    </xf>
    <xf applyAlignment="true" applyBorder="false" applyFill="false" applyFont="true" applyNumberFormat="false" applyProtection="false" borderId="0" fillId="0" fontId="9" numFmtId="0" xfId="0">
      <alignment horizontal="right" vertical="center"/>
    </xf>
    <xf applyAlignment="true" applyBorder="false" applyFill="false" applyFont="true" applyNumberFormat="true" applyProtection="false" borderId="0" fillId="0" fontId="11" numFmtId="172" xfId="0">
      <alignment vertical="center" wrapText="true"/>
    </xf>
    <xf applyAlignment="true" applyBorder="false" applyFill="false" applyFont="true" applyNumberFormat="false" applyProtection="false" borderId="0" fillId="0" fontId="9" numFmtId="0" xfId="0">
      <alignment horizontal="left" vertical="center" wrapText="true"/>
    </xf>
    <xf applyAlignment="true" applyBorder="false" applyFill="false" applyFont="true" applyNumberFormat="true" applyProtection="false" borderId="33" fillId="0" fontId="27" numFmtId="172" xfId="0">
      <alignment horizontal="center" vertical="center" wrapText="true"/>
    </xf>
    <xf applyAlignment="true" applyBorder="false" applyFill="false" applyFont="true" applyNumberFormat="true" applyProtection="false" borderId="33" fillId="0" fontId="27" numFmtId="172" xfId="0">
      <alignment horizontal="right" vertical="center"/>
    </xf>
    <xf applyAlignment="true" applyBorder="false" applyFill="false" applyFont="true" applyNumberFormat="false" applyProtection="false" borderId="0" fillId="0" fontId="11" numFmtId="0" xfId="0">
      <alignment vertical="center" wrapText="true"/>
    </xf>
    <xf applyAlignment="true" applyBorder="false" applyFill="false" applyFont="true" applyNumberFormat="true" applyProtection="false" borderId="34" fillId="0" fontId="13" numFmtId="172" xfId="0">
      <alignment horizontal="center" vertical="center"/>
    </xf>
    <xf applyAlignment="true" applyBorder="false" applyFill="false" applyFont="true" applyNumberFormat="true" applyProtection="false" borderId="34" fillId="0" fontId="27" numFmtId="172" xfId="0">
      <alignment horizontal="center" vertical="center" wrapText="true"/>
    </xf>
    <xf applyAlignment="true" applyBorder="false" applyFill="false" applyFont="true" applyNumberFormat="true" applyProtection="false" borderId="34" fillId="0" fontId="27" numFmtId="172" xfId="0">
      <alignment horizontal="right" vertical="center"/>
    </xf>
    <xf applyAlignment="true" applyBorder="false" applyFill="false" applyFont="true" applyNumberFormat="false" applyProtection="false" borderId="0" fillId="0" fontId="9" numFmtId="0" xfId="0">
      <alignment horizontal="right" vertical="center"/>
    </xf>
    <xf applyAlignment="true" applyBorder="false" applyFill="false" applyFont="true" applyNumberFormat="true" applyProtection="false" borderId="0" fillId="0" fontId="6" numFmtId="172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left" vertical="center" wrapText="true"/>
    </xf>
    <xf applyAlignment="true" applyBorder="false" applyFill="false" applyFont="true" applyNumberFormat="true" applyProtection="false" borderId="0" fillId="0" fontId="29" numFmtId="172" xfId="0">
      <alignment horizontal="center" vertical="center"/>
    </xf>
    <xf applyAlignment="true" applyBorder="false" applyFill="false" applyFont="true" applyNumberFormat="false" applyProtection="false" borderId="0" fillId="0" fontId="29" numFmtId="0" xfId="0">
      <alignment vertical="center" wrapText="true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false" applyFont="true" applyNumberFormat="false" applyProtection="false" borderId="0" fillId="0" fontId="29" numFmtId="0" xfId="0">
      <alignment horizontal="center" vertical="center"/>
    </xf>
    <xf applyAlignment="true" applyBorder="false" applyFill="true" applyFont="true" applyNumberFormat="false" applyProtection="false" borderId="35" fillId="10" fontId="22" numFmtId="0" xfId="0">
      <alignment horizontal="center" vertical="center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true" applyFont="true" applyNumberFormat="false" applyProtection="false" borderId="35" fillId="10" fontId="31" numFmtId="0" xfId="0">
      <alignment horizontal="center" vertical="center"/>
    </xf>
    <xf applyAlignment="true" applyBorder="false" applyFill="false" applyFont="true" applyNumberFormat="false" applyProtection="false" borderId="35" fillId="0" fontId="20" numFmtId="0" xfId="0">
      <alignment horizontal="center" vertical="center"/>
    </xf>
    <xf applyAlignment="true" applyBorder="false" applyFill="true" applyFont="true" applyNumberFormat="false" applyProtection="false" borderId="36" fillId="11" fontId="30" numFmtId="0" xfId="0">
      <alignment horizontal="center" vertical="center"/>
    </xf>
    <xf applyAlignment="true" applyBorder="false" applyFill="false" applyFont="true" applyNumberFormat="false" applyProtection="false" borderId="0" fillId="0" fontId="30" numFmtId="0" xfId="0">
      <alignment horizontal="center" vertical="center"/>
    </xf>
    <xf applyAlignment="true" applyBorder="false" applyFill="false" applyFont="true" applyNumberFormat="true" applyProtection="false" borderId="37" fillId="0" fontId="13" numFmtId="173" xfId="0">
      <alignment horizontal="center" vertical="center"/>
    </xf>
    <xf applyAlignment="true" applyBorder="false" applyFill="false" applyFont="true" applyNumberFormat="false" applyProtection="false" borderId="35" fillId="0" fontId="23" numFmtId="0" xfId="0">
      <alignment horizontal="center" vertical="center"/>
    </xf>
    <xf applyAlignment="true" applyBorder="false" applyFill="false" applyFont="true" applyNumberFormat="true" applyProtection="false" borderId="35" fillId="0" fontId="13" numFmtId="173" xfId="0">
      <alignment horizontal="center" vertical="center"/>
    </xf>
    <xf applyAlignment="true" applyBorder="false" applyFill="false" applyFont="true" applyNumberFormat="true" applyProtection="false" borderId="35" fillId="0" fontId="13" numFmtId="174" xfId="0">
      <alignment horizontal="center" vertical="center"/>
    </xf>
    <xf applyAlignment="true" applyBorder="false" applyFill="false" applyFont="true" applyNumberFormat="false" applyProtection="false" borderId="35" fillId="0" fontId="33" numFmtId="0" xfId="0">
      <alignment horizontal="center" vertical="center"/>
    </xf>
    <xf applyAlignment="true" applyBorder="false" applyFill="false" applyFont="true" applyNumberFormat="false" applyProtection="false" borderId="38" fillId="0" fontId="33" numFmtId="0" xfId="0">
      <alignment horizontal="center" vertical="center"/>
    </xf>
    <xf applyAlignment="true" applyBorder="false" applyFill="true" applyFont="true" applyNumberFormat="false" applyProtection="false" borderId="39" fillId="12" fontId="10" numFmtId="0" xfId="0">
      <alignment horizontal="left" vertical="center" wrapText="true"/>
    </xf>
    <xf applyAlignment="true" applyBorder="false" applyFill="true" applyFont="true" applyNumberFormat="false" applyProtection="false" borderId="39" fillId="11" fontId="9" numFmtId="0" xfId="0">
      <alignment horizontal="left" vertical="center" wrapText="true"/>
    </xf>
    <xf applyAlignment="true" applyBorder="false" applyFill="true" applyFont="true" applyNumberFormat="false" applyProtection="false" borderId="40" fillId="11" fontId="9" numFmtId="0" xfId="0">
      <alignment horizontal="left" vertical="center" wrapText="true"/>
    </xf>
    <xf applyAlignment="true" applyBorder="false" applyFill="false" applyFont="true" applyNumberFormat="false" applyProtection="false" borderId="40" fillId="0" fontId="27" numFmtId="0" xfId="0">
      <alignment horizontal="left" vertical="center" wrapText="true"/>
    </xf>
    <xf applyAlignment="true" applyBorder="false" applyFill="false" applyFont="true" applyNumberFormat="false" applyProtection="false" borderId="35" fillId="0" fontId="27" numFmtId="0" xfId="0">
      <alignment vertical="center" wrapText="true"/>
    </xf>
    <xf applyAlignment="true" applyBorder="false" applyFill="false" applyFont="true" applyNumberFormat="false" applyProtection="false" borderId="35" fillId="0" fontId="27" numFmtId="0" xfId="0">
      <alignment vertical="center"/>
    </xf>
    <xf applyAlignment="true" applyBorder="false" applyFill="false" applyFont="true" applyNumberFormat="false" applyProtection="false" borderId="35" fillId="0" fontId="29" numFmtId="0" xfId="0">
      <alignment vertical="center"/>
    </xf>
    <xf applyAlignment="true" applyBorder="false" applyFill="false" applyFont="true" applyNumberFormat="true" applyProtection="false" borderId="0" fillId="0" fontId="29" numFmtId="173" xfId="0">
      <alignment horizontal="center" vertical="center"/>
    </xf>
    <xf applyAlignment="true" applyBorder="false" applyFill="false" applyFont="true" applyNumberFormat="false" applyProtection="false" borderId="41" fillId="0" fontId="13" numFmtId="0" xfId="0">
      <alignment vertical="center"/>
    </xf>
    <xf applyAlignment="true" applyBorder="false" applyFill="false" applyFont="true" applyNumberFormat="true" applyProtection="false" borderId="42" fillId="0" fontId="13" numFmtId="173" xfId="0">
      <alignment vertical="center"/>
    </xf>
    <xf applyAlignment="true" applyBorder="false" applyFill="true" applyFont="true" applyNumberFormat="false" applyProtection="false" borderId="40" fillId="12" fontId="10" numFmtId="0" xfId="0">
      <alignment horizontal="left" vertical="center" wrapText="true"/>
    </xf>
    <xf applyAlignment="true" applyBorder="false" applyFill="false" applyFont="true" applyNumberFormat="false" applyProtection="false" borderId="40" fillId="0" fontId="25" numFmtId="0" xfId="0">
      <alignment horizontal="left" vertical="center" wrapText="true"/>
    </xf>
    <xf applyAlignment="true" applyBorder="false" applyFill="false" applyFont="true" applyNumberFormat="false" applyProtection="false" borderId="43" fillId="0" fontId="9" numFmtId="0" xfId="0">
      <alignment horizontal="right" vertical="center"/>
    </xf>
    <xf applyAlignment="true" applyBorder="false" applyFill="false" applyFont="true" applyNumberFormat="true" applyProtection="false" borderId="35" fillId="0" fontId="27" numFmtId="173" xfId="0">
      <alignment vertical="center"/>
    </xf>
    <xf applyAlignment="true" applyBorder="false" applyFill="false" applyFont="true" applyNumberFormat="true" applyProtection="false" borderId="40" fillId="0" fontId="25" numFmtId="174" xfId="0">
      <alignment horizontal="center" vertical="center" wrapText="true"/>
    </xf>
    <xf applyAlignment="true" applyBorder="false" applyFill="false" applyFont="true" applyNumberFormat="false" applyProtection="false" borderId="44" fillId="0" fontId="25" numFmtId="0" xfId="0">
      <alignment horizontal="left" vertical="center" wrapText="true"/>
    </xf>
    <xf applyAlignment="true" applyBorder="false" applyFill="false" applyFont="true" applyNumberFormat="true" applyProtection="false" borderId="37" fillId="0" fontId="27" numFmtId="173" xfId="0">
      <alignment vertical="center"/>
    </xf>
    <xf applyAlignment="true" applyBorder="false" applyFill="true" applyFont="true" applyNumberFormat="false" applyProtection="false" borderId="40" fillId="12" fontId="10" numFmtId="0" xfId="0">
      <alignment horizontal="left" vertical="center" wrapText="true"/>
    </xf>
    <xf applyAlignment="true" applyBorder="false" applyFill="false" applyFont="true" applyNumberFormat="true" applyProtection="false" borderId="40" fillId="0" fontId="27" numFmtId="174" xfId="0">
      <alignment horizontal="center" vertical="center" wrapText="true"/>
    </xf>
    <xf applyAlignment="true" applyBorder="false" applyFill="false" applyFont="true" applyNumberFormat="true" applyProtection="false" borderId="40" fillId="0" fontId="26" numFmtId="174" xfId="0">
      <alignment horizontal="left" vertical="center" wrapText="true"/>
    </xf>
    <xf applyAlignment="true" applyBorder="false" applyFill="false" applyFont="true" applyNumberFormat="true" applyProtection="false" borderId="43" fillId="0" fontId="25" numFmtId="174" xfId="0">
      <alignment horizontal="center" vertical="center" wrapText="true"/>
    </xf>
    <xf applyAlignment="true" applyBorder="false" applyFill="false" applyFont="true" applyNumberFormat="false" applyProtection="false" borderId="35" fillId="0" fontId="29" numFmtId="0" xfId="0">
      <alignment vertical="center" wrapText="true"/>
    </xf>
    <xf applyAlignment="true" applyBorder="false" applyFill="false" applyFont="true" applyNumberFormat="true" applyProtection="false" borderId="37" fillId="0" fontId="25" numFmtId="174" xfId="0">
      <alignment horizontal="center" vertical="center" wrapText="true"/>
    </xf>
    <xf applyAlignment="true" applyBorder="false" applyFill="false" applyFont="true" applyNumberFormat="true" applyProtection="false" borderId="40" fillId="0" fontId="27" numFmtId="174" xfId="0">
      <alignment horizontal="center" vertical="center" wrapText="true"/>
    </xf>
    <xf applyAlignment="true" applyBorder="false" applyFill="false" applyFont="true" applyNumberFormat="true" applyProtection="false" borderId="43" fillId="0" fontId="27" numFmtId="174" xfId="0">
      <alignment horizontal="center" vertical="center" wrapText="true"/>
    </xf>
    <xf applyAlignment="true" applyBorder="false" applyFill="false" applyFont="true" applyNumberFormat="true" applyProtection="false" borderId="35" fillId="0" fontId="27" numFmtId="174" xfId="0">
      <alignment horizontal="center" vertical="center" wrapText="true"/>
    </xf>
    <xf applyAlignment="true" applyBorder="false" applyFill="false" applyFont="true" applyNumberFormat="false" applyProtection="false" borderId="35" fillId="0" fontId="29" numFmtId="0" xfId="0">
      <alignment vertical="center" wrapText="true"/>
    </xf>
    <xf applyAlignment="true" applyBorder="false" applyFill="false" applyFont="true" applyNumberFormat="true" applyProtection="false" borderId="35" fillId="0" fontId="25" numFmtId="174" xfId="0">
      <alignment horizontal="center" vertical="center" wrapText="true"/>
    </xf>
    <xf applyAlignment="true" applyBorder="false" applyFill="false" applyFont="true" applyNumberFormat="true" applyProtection="false" borderId="40" fillId="0" fontId="27" numFmtId="175" xfId="0">
      <alignment horizontal="center" vertical="center" wrapText="true"/>
    </xf>
    <xf applyAlignment="true" applyBorder="false" applyFill="false" applyFont="true" applyNumberFormat="true" applyProtection="false" borderId="40" fillId="0" fontId="25" numFmtId="175" xfId="0">
      <alignment horizontal="center" vertical="center" wrapText="true"/>
    </xf>
    <xf applyAlignment="true" applyBorder="false" applyFill="false" applyFont="true" applyNumberFormat="true" applyProtection="false" borderId="43" fillId="0" fontId="25" numFmtId="175" xfId="0">
      <alignment horizontal="center" vertical="center" wrapText="true"/>
    </xf>
    <xf applyAlignment="true" applyBorder="false" applyFill="false" applyFont="true" applyNumberFormat="false" applyProtection="false" borderId="35" fillId="0" fontId="29" numFmtId="0" xfId="0">
      <alignment vertical="center"/>
    </xf>
    <xf applyAlignment="true" applyBorder="false" applyFill="false" applyFont="true" applyNumberFormat="true" applyProtection="false" borderId="35" fillId="0" fontId="25" numFmtId="175" xfId="0">
      <alignment horizontal="center" vertical="center" wrapText="true"/>
    </xf>
    <xf applyAlignment="true" applyBorder="false" applyFill="false" applyFont="true" applyNumberFormat="false" applyProtection="false" borderId="45" fillId="0" fontId="9" numFmtId="0" xfId="0">
      <alignment horizontal="right" vertical="center"/>
    </xf>
    <xf applyAlignment="true" applyBorder="false" applyFill="false" applyFont="true" applyNumberFormat="false" applyProtection="false" borderId="40" fillId="0" fontId="26" numFmtId="0" xfId="0">
      <alignment horizontal="left" vertical="center" wrapText="true"/>
    </xf>
    <xf applyAlignment="true" applyBorder="false" applyFill="false" applyFont="true" applyNumberFormat="false" applyProtection="false" borderId="40" fillId="0" fontId="25" numFmtId="0" xfId="0">
      <alignment horizontal="center" vertical="center" wrapText="true"/>
    </xf>
    <xf applyAlignment="true" applyBorder="false" applyFill="false" applyFont="true" applyNumberFormat="true" applyProtection="false" borderId="44" fillId="0" fontId="25" numFmtId="175" xfId="0">
      <alignment horizontal="center" vertical="center" wrapText="true"/>
    </xf>
    <xf applyAlignment="true" applyBorder="false" applyFill="false" applyFont="true" applyNumberFormat="false" applyProtection="false" borderId="43" fillId="0" fontId="13" numFmtId="0" xfId="0">
      <alignment vertical="center" wrapText="true"/>
    </xf>
    <xf applyAlignment="true" applyBorder="false" applyFill="false" applyFont="true" applyNumberFormat="true" applyProtection="false" borderId="35" fillId="0" fontId="13" numFmtId="173" xfId="0">
      <alignment vertical="center"/>
    </xf>
    <xf applyAlignment="true" applyBorder="false" applyFill="true" applyFont="true" applyNumberFormat="false" applyProtection="false" borderId="40" fillId="11" fontId="9" numFmtId="0" xfId="0">
      <alignment horizontal="left" vertical="center" wrapText="true"/>
    </xf>
    <xf applyAlignment="true" applyBorder="false" applyFill="false" applyFont="true" applyNumberFormat="false" applyProtection="false" borderId="40" fillId="0" fontId="27" numFmtId="0" xfId="0">
      <alignment horizontal="center" vertical="center" wrapText="true"/>
    </xf>
    <xf applyAlignment="true" applyBorder="false" applyFill="false" applyFont="true" applyNumberFormat="false" applyProtection="false" borderId="40" fillId="0" fontId="11" numFmtId="0" xfId="0">
      <alignment horizontal="left" vertical="center" wrapText="true"/>
    </xf>
    <xf applyAlignment="true" applyBorder="false" applyFill="false" applyFont="true" applyNumberFormat="false" applyProtection="false" borderId="43" fillId="0" fontId="25" numFmtId="0" xfId="0">
      <alignment horizontal="center" vertical="center" wrapText="true"/>
    </xf>
    <xf applyAlignment="true" applyBorder="false" applyFill="false" applyFont="true" applyNumberFormat="false" applyProtection="false" borderId="37" fillId="0" fontId="25" numFmtId="0" xfId="0">
      <alignment horizontal="center" vertical="center" wrapText="true"/>
    </xf>
    <xf applyAlignment="true" applyBorder="false" applyFill="false" applyFont="true" applyNumberFormat="false" applyProtection="false" borderId="35" fillId="0" fontId="9" numFmtId="0" xfId="0">
      <alignment horizontal="right" vertical="center" wrapText="true"/>
    </xf>
    <xf applyAlignment="true" applyBorder="false" applyFill="false" applyFont="true" applyNumberFormat="false" applyProtection="false" borderId="43" fillId="0" fontId="11" numFmtId="0" xfId="0">
      <alignment horizontal="center" vertical="center" wrapText="true"/>
    </xf>
    <xf applyAlignment="true" applyBorder="false" applyFill="false" applyFont="true" applyNumberFormat="false" applyProtection="false" borderId="35" fillId="0" fontId="11" numFmtId="0" xfId="0">
      <alignment horizontal="center" vertical="center" wrapText="true"/>
    </xf>
    <xf applyAlignment="true" applyBorder="false" applyFill="false" applyFont="true" applyNumberFormat="false" applyProtection="false" borderId="37" fillId="0" fontId="29" numFmtId="0" xfId="0">
      <alignment vertical="center"/>
    </xf>
    <xf applyAlignment="true" applyBorder="false" applyFill="false" applyFont="true" applyNumberFormat="false" applyProtection="false" borderId="35" fillId="0" fontId="20" numFmtId="0" xfId="0">
      <alignment horizontal="right" vertical="center" wrapText="true"/>
    </xf>
    <xf applyAlignment="true" applyBorder="false" applyFill="true" applyFont="true" applyNumberFormat="false" applyProtection="false" borderId="43" fillId="11" fontId="9" numFmtId="0" xfId="0">
      <alignment horizontal="left" vertical="center" wrapText="true"/>
    </xf>
    <xf applyAlignment="true" applyBorder="false" applyFill="false" applyFont="true" applyNumberFormat="false" applyProtection="false" borderId="46" fillId="0" fontId="29" numFmtId="0" xfId="0">
      <alignment vertical="center"/>
    </xf>
    <xf applyAlignment="true" applyBorder="false" applyFill="false" applyFont="true" applyNumberFormat="false" applyProtection="false" borderId="42" fillId="0" fontId="29" numFmtId="0" xfId="0">
      <alignment vertical="center"/>
    </xf>
    <xf applyAlignment="true" applyBorder="false" applyFill="false" applyFont="true" applyNumberFormat="false" applyProtection="false" borderId="37" fillId="0" fontId="20" numFmtId="0" xfId="0">
      <alignment horizontal="right" vertical="center" wrapText="true"/>
    </xf>
    <xf applyAlignment="true" applyBorder="false" applyFill="false" applyFont="true" applyNumberFormat="false" applyProtection="false" borderId="35" fillId="0" fontId="27" numFmtId="0" xfId="0">
      <alignment vertical="center"/>
    </xf>
    <xf applyAlignment="true" applyBorder="false" applyFill="false" applyFont="true" applyNumberFormat="false" applyProtection="false" borderId="38" fillId="0" fontId="20" numFmtId="0" xfId="0">
      <alignment horizontal="right" vertical="center" wrapText="true"/>
    </xf>
    <xf applyAlignment="true" applyBorder="false" applyFill="false" applyFont="true" applyNumberFormat="false" applyProtection="false" borderId="0" fillId="0" fontId="10" numFmtId="0" xfId="0">
      <alignment horizontal="left" vertical="center" wrapText="true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false" applyFont="true" applyNumberFormat="false" applyProtection="false" borderId="44" fillId="0" fontId="20" numFmtId="0" xfId="0">
      <alignment horizontal="left" vertical="center" wrapText="true"/>
    </xf>
    <xf applyAlignment="true" applyBorder="false" applyFill="false" applyFont="true" applyNumberFormat="false" applyProtection="false" borderId="44" fillId="0" fontId="26" numFmtId="0" xfId="0">
      <alignment horizontal="left" vertical="center" wrapText="true"/>
    </xf>
    <xf applyAlignment="true" applyBorder="false" applyFill="false" applyFont="true" applyNumberFormat="false" applyProtection="false" borderId="0" fillId="0" fontId="10" numFmtId="0" xfId="0">
      <alignment horizontal="left" vertical="center" wrapText="true"/>
    </xf>
    <xf applyAlignment="true" applyBorder="false" applyFill="true" applyFont="true" applyNumberFormat="false" applyProtection="false" borderId="44" fillId="12" fontId="10" numFmtId="0" xfId="0">
      <alignment horizontal="left" vertical="center" wrapText="true"/>
    </xf>
    <xf applyAlignment="true" applyBorder="false" applyFill="true" applyFont="true" applyNumberFormat="false" applyProtection="false" borderId="44" fillId="11" fontId="9" numFmtId="0" xfId="0">
      <alignment horizontal="left" vertical="center" wrapText="true"/>
    </xf>
    <xf applyAlignment="true" applyBorder="false" applyFill="true" applyFont="true" applyNumberFormat="false" applyProtection="false" borderId="44" fillId="11" fontId="9" numFmtId="0" xfId="0">
      <alignment horizontal="left" vertical="center" wrapText="true"/>
    </xf>
    <xf applyAlignment="true" applyBorder="false" applyFill="true" applyFont="true" applyNumberFormat="false" applyProtection="false" borderId="44" fillId="12" fontId="10" numFmtId="0" xfId="0">
      <alignment horizontal="left" vertical="center" wrapText="true"/>
    </xf>
    <xf applyAlignment="true" applyBorder="false" applyFill="false" applyFont="true" applyNumberFormat="false" applyProtection="false" borderId="37" fillId="0" fontId="29" numFmtId="0" xfId="0">
      <alignment vertical="center"/>
    </xf>
    <xf applyAlignment="true" applyBorder="false" applyFill="false" applyFont="true" applyNumberFormat="false" applyProtection="false" borderId="37" fillId="0" fontId="29" numFmtId="0" xfId="0">
      <alignment vertical="center" wrapText="true"/>
    </xf>
    <xf applyAlignment="true" applyBorder="false" applyFill="true" applyFont="true" applyNumberFormat="false" applyProtection="false" borderId="45" fillId="11" fontId="9" numFmtId="0" xfId="0">
      <alignment horizontal="left" vertical="center" wrapText="true"/>
    </xf>
    <xf applyAlignment="true" applyBorder="false" applyFill="false" applyFont="true" applyNumberFormat="false" applyProtection="false" borderId="35" fillId="0" fontId="29" numFmtId="0" xfId="0">
      <alignment horizontal="left" vertical="center"/>
    </xf>
    <xf applyAlignment="true" applyBorder="false" applyFill="true" applyFont="true" applyNumberFormat="false" applyProtection="false" borderId="45" fillId="12" fontId="10" numFmtId="0" xfId="0">
      <alignment horizontal="left" vertical="center" wrapText="true"/>
    </xf>
    <xf applyAlignment="true" applyBorder="false" applyFill="false" applyFont="true" applyNumberFormat="false" applyProtection="false" borderId="40" fillId="0" fontId="20" numFmtId="0" xfId="0">
      <alignment horizontal="left" vertical="center" wrapText="true"/>
    </xf>
    <xf applyAlignment="true" applyBorder="false" applyFill="false" applyFont="true" applyNumberFormat="false" applyProtection="false" borderId="40" fillId="0" fontId="20" numFmtId="0" xfId="0">
      <alignment horizontal="left" vertical="center" wrapText="true"/>
    </xf>
    <xf applyAlignment="true" applyBorder="false" applyFill="false" applyFont="true" applyNumberFormat="false" applyProtection="false" borderId="43" fillId="0" fontId="20" numFmtId="0" xfId="0">
      <alignment horizontal="left" vertical="center" wrapText="true"/>
    </xf>
    <xf applyAlignment="true" applyBorder="false" applyFill="false" applyFont="true" applyNumberFormat="false" applyProtection="false" borderId="0" fillId="0" fontId="27" numFmtId="0" xfId="0">
      <alignment vertical="center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false" applyFont="true" applyNumberFormat="false" applyProtection="false" borderId="0" fillId="0" fontId="29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47" fillId="13" fontId="6" numFmtId="0" xfId="0">
      <alignment horizontal="center" vertical="center"/>
    </xf>
    <xf applyAlignment="true" applyBorder="false" applyFill="true" applyFont="true" applyNumberFormat="false" applyProtection="false" borderId="48" fillId="13" fontId="31" numFmtId="0" xfId="0">
      <alignment horizontal="center" vertical="center"/>
    </xf>
    <xf applyAlignment="true" applyBorder="false" applyFill="true" applyFont="true" applyNumberFormat="false" applyProtection="false" borderId="49" fillId="13" fontId="31" numFmtId="0" xfId="0">
      <alignment horizontal="center" vertical="center"/>
    </xf>
    <xf applyAlignment="true" applyBorder="false" applyFill="true" applyFont="true" applyNumberFormat="false" applyProtection="false" borderId="49" fillId="13" fontId="31" numFmtId="0" xfId="0">
      <alignment horizontal="center" vertical="center" wrapText="true"/>
    </xf>
    <xf applyAlignment="true" applyBorder="false" applyFill="true" applyFont="true" applyNumberFormat="false" applyProtection="false" borderId="50" fillId="13" fontId="22" numFmtId="0" xfId="0">
      <alignment horizontal="center" vertical="center" wrapText="true"/>
    </xf>
    <xf applyAlignment="true" applyBorder="false" applyFill="false" applyFont="true" applyNumberFormat="false" applyProtection="false" borderId="50" fillId="0" fontId="13" numFmtId="0" xfId="0">
      <alignment horizontal="center" vertical="center" wrapText="true"/>
    </xf>
    <xf applyAlignment="true" applyBorder="false" applyFill="false" applyFont="true" applyNumberFormat="false" applyProtection="false" borderId="50" fillId="0" fontId="11" numFmtId="0" xfId="0">
      <alignment horizontal="center" vertical="center"/>
    </xf>
    <xf applyAlignment="true" applyBorder="false" applyFill="false" applyFont="true" applyNumberFormat="false" applyProtection="false" borderId="50" fillId="0" fontId="9" numFmtId="0" xfId="0">
      <alignment horizontal="left" vertical="center" wrapText="true"/>
    </xf>
    <xf applyAlignment="true" applyBorder="false" applyFill="false" applyFont="true" applyNumberFormat="false" applyProtection="false" borderId="50" fillId="0" fontId="9" numFmtId="0" xfId="0">
      <alignment horizontal="center" vertical="center" wrapText="true"/>
    </xf>
    <xf applyAlignment="true" applyBorder="false" applyFill="false" applyFont="true" applyNumberFormat="false" applyProtection="false" borderId="50" fillId="0" fontId="11" numFmtId="0" xfId="0">
      <alignment horizontal="left" vertical="center" wrapText="true"/>
    </xf>
    <xf applyAlignment="true" applyBorder="false" applyFill="false" applyFont="true" applyNumberFormat="false" applyProtection="false" borderId="50" fillId="0" fontId="11" numFmtId="0" xfId="0">
      <alignment horizontal="center" vertical="center"/>
    </xf>
    <xf applyAlignment="true" applyBorder="false" applyFill="false" applyFont="true" applyNumberFormat="false" applyProtection="false" borderId="50" fillId="0" fontId="20" numFmtId="0" xfId="0">
      <alignment horizontal="left" vertical="center" wrapText="true"/>
    </xf>
    <xf applyAlignment="true" applyBorder="false" applyFill="false" applyFont="true" applyNumberFormat="false" applyProtection="false" borderId="50" fillId="0" fontId="11" numFmtId="0" xfId="0">
      <alignment horizontal="left" vertical="center" wrapText="true"/>
    </xf>
    <xf applyAlignment="true" applyBorder="false" applyFill="true" applyFont="true" applyNumberFormat="false" applyProtection="false" borderId="51" fillId="14" fontId="32" numFmtId="0" xfId="0">
      <alignment horizontal="center" vertical="center"/>
    </xf>
    <xf applyAlignment="true" applyBorder="false" applyFill="false" applyFont="true" applyNumberFormat="false" applyProtection="false" borderId="52" fillId="0" fontId="23" numFmtId="0" xfId="0">
      <alignment horizontal="center" vertical="center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true" applyFont="true" applyNumberFormat="false" applyProtection="false" borderId="51" fillId="15" fontId="30" numFmtId="0" xfId="0">
      <alignment horizontal="center" vertical="center"/>
    </xf>
    <xf applyAlignment="true" applyBorder="false" applyFill="false" applyFont="true" applyNumberFormat="false" applyProtection="false" borderId="53" fillId="0" fontId="29" numFmtId="0" xfId="0">
      <alignment vertical="center" wrapText="true"/>
    </xf>
    <xf applyAlignment="true" applyBorder="false" applyFill="false" applyFont="true" applyNumberFormat="false" applyProtection="false" borderId="53" fillId="0" fontId="29" numFmtId="0" xfId="0">
      <alignment vertical="center" wrapText="true"/>
    </xf>
    <xf applyAlignment="true" applyBorder="false" applyFill="false" applyFont="true" applyNumberFormat="false" applyProtection="false" borderId="0" fillId="0" fontId="13" numFmtId="0" xfId="0">
      <alignment horizontal="center" vertical="center"/>
    </xf>
    <xf applyAlignment="true" applyBorder="false" applyFill="false" applyFont="true" applyNumberFormat="false" applyProtection="false" borderId="51" fillId="0" fontId="13" numFmtId="0" xfId="0">
      <alignment horizontal="center" vertical="center"/>
    </xf>
    <xf applyAlignment="true" applyBorder="false" applyFill="false" applyFont="true" applyNumberFormat="false" applyProtection="false" borderId="51" fillId="0" fontId="29" numFmtId="0" xfId="0">
      <alignment vertical="center"/>
    </xf>
    <xf applyAlignment="true" applyBorder="false" applyFill="false" applyFont="true" applyNumberFormat="false" applyProtection="false" borderId="51" fillId="0" fontId="29" numFmtId="0" xfId="0">
      <alignment vertical="center" wrapText="true"/>
    </xf>
    <xf applyAlignment="true" applyBorder="false" applyFill="false" applyFont="true" applyNumberFormat="false" applyProtection="false" borderId="51" fillId="0" fontId="29" numFmtId="0" xfId="0">
      <alignment vertical="center"/>
    </xf>
    <xf applyAlignment="true" applyBorder="false" applyFill="true" applyFont="true" applyNumberFormat="false" applyProtection="false" borderId="54" fillId="16" fontId="34" numFmtId="0" xfId="0">
      <alignment horizontal="center" vertical="center"/>
    </xf>
    <xf applyAlignment="true" applyBorder="false" applyFill="false" applyFont="true" applyNumberFormat="false" applyProtection="false" borderId="0" fillId="0" fontId="26" numFmtId="0" xfId="0">
      <alignment vertical="center"/>
    </xf>
    <xf applyAlignment="true" applyBorder="false" applyFill="true" applyFont="true" applyNumberFormat="false" applyProtection="false" borderId="54" fillId="17" fontId="35" numFmtId="0" xfId="0">
      <alignment horizontal="center" vertical="center"/>
    </xf>
    <xf applyAlignment="true" applyBorder="false" applyFill="false" applyFont="true" applyNumberFormat="false" applyProtection="false" borderId="54" fillId="0" fontId="20" numFmtId="0" xfId="0">
      <alignment horizontal="center" vertical="center" wrapText="true"/>
    </xf>
    <xf applyAlignment="true" applyBorder="false" applyFill="false" applyFont="true" applyNumberFormat="false" applyProtection="false" borderId="54" fillId="0" fontId="20" numFmtId="0" xfId="0">
      <alignment horizontal="center" vertical="center"/>
    </xf>
    <xf applyAlignment="true" applyBorder="false" applyFill="false" applyFont="true" applyNumberFormat="false" applyProtection="false" borderId="54" fillId="0" fontId="20" numFmtId="0" xfId="0">
      <alignment horizontal="left" vertical="center"/>
    </xf>
    <xf applyAlignment="true" applyBorder="false" applyFill="false" applyFont="true" applyNumberFormat="false" applyProtection="false" borderId="55" fillId="0" fontId="20" numFmtId="0" xfId="0">
      <alignment horizontal="center" vertical="center"/>
    </xf>
    <xf applyAlignment="true" applyBorder="false" applyFill="false" applyFont="true" applyNumberFormat="false" applyProtection="false" borderId="56" fillId="0" fontId="20" numFmtId="0" xfId="0">
      <alignment horizontal="center" vertical="center"/>
    </xf>
    <xf applyAlignment="true" applyBorder="false" applyFill="false" applyFont="true" applyNumberFormat="false" applyProtection="false" borderId="57" fillId="0" fontId="20" numFmtId="0" xfId="0">
      <alignment horizontal="center" vertical="center"/>
    </xf>
    <xf applyAlignment="true" applyBorder="false" applyFill="false" applyFont="true" applyNumberFormat="false" applyProtection="false" borderId="57" fillId="0" fontId="20" numFmtId="0" xfId="0">
      <alignment horizontal="center" vertical="center" wrapText="true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false" applyFont="true" applyNumberFormat="false" applyProtection="false" borderId="54" fillId="0" fontId="13" numFmtId="0" xfId="0">
      <alignment horizontal="center" vertical="center" wrapText="true"/>
    </xf>
    <xf applyAlignment="true" applyBorder="false" applyFill="false" applyFont="true" applyNumberFormat="false" applyProtection="false" borderId="58" fillId="0" fontId="13" numFmtId="0" xfId="0">
      <alignment horizontal="center" vertical="center" wrapText="true"/>
    </xf>
    <xf applyAlignment="true" applyBorder="false" applyFill="false" applyFont="true" applyNumberFormat="false" applyProtection="false" borderId="58" fillId="0" fontId="26" numFmtId="0" xfId="0">
      <alignment horizontal="center" vertical="center" wrapText="true"/>
    </xf>
    <xf applyAlignment="true" applyBorder="false" applyFill="false" applyFont="true" applyNumberFormat="false" applyProtection="false" borderId="59" fillId="0" fontId="20" numFmtId="0" xfId="0">
      <alignment horizontal="left" vertical="center" wrapText="true"/>
    </xf>
    <xf applyAlignment="true" applyBorder="false" applyFill="false" applyFont="true" applyNumberFormat="false" applyProtection="false" borderId="59" fillId="0" fontId="26" numFmtId="0" xfId="0">
      <alignment horizontal="left" vertical="center" wrapText="true"/>
    </xf>
    <xf applyAlignment="true" applyBorder="false" applyFill="false" applyFont="true" applyNumberFormat="false" applyProtection="false" borderId="0" fillId="0" fontId="30" numFmtId="0" xfId="0">
      <alignment vertical="center"/>
    </xf>
    <xf applyAlignment="true" applyBorder="false" applyFill="false" applyFont="true" applyNumberFormat="false" applyProtection="false" borderId="58" fillId="0" fontId="26" numFmtId="0" xfId="0">
      <alignment horizontal="center" vertical="center" wrapText="true"/>
    </xf>
    <xf applyAlignment="true" applyBorder="false" applyFill="false" applyFont="true" applyNumberFormat="false" applyProtection="false" borderId="54" fillId="0" fontId="20" numFmtId="0" xfId="0">
      <alignment horizontal="left" vertical="center" wrapText="true"/>
    </xf>
    <xf applyAlignment="true" applyBorder="false" applyFill="false" applyFont="true" applyNumberFormat="false" applyProtection="false" borderId="54" fillId="0" fontId="26" numFmtId="0" xfId="0">
      <alignment horizontal="left" vertical="center" wrapText="true"/>
    </xf>
    <xf applyAlignment="true" applyBorder="false" applyFill="false" applyFont="true" applyNumberFormat="false" applyProtection="false" borderId="55" fillId="0" fontId="26" numFmtId="0" xfId="0">
      <alignment horizontal="center" vertical="center" wrapText="true"/>
    </xf>
    <xf applyAlignment="true" applyBorder="false" applyFill="false" applyFont="true" applyNumberFormat="false" applyProtection="false" borderId="60" fillId="0" fontId="26" numFmtId="0" xfId="0">
      <alignment horizontal="left" vertical="center" wrapText="true"/>
    </xf>
    <xf applyAlignment="true" applyBorder="false" applyFill="false" applyFont="true" applyNumberFormat="false" applyProtection="false" borderId="54" fillId="0" fontId="11" numFmtId="0" xfId="0">
      <alignment horizontal="center" vertical="center"/>
    </xf>
    <xf applyAlignment="true" applyBorder="false" applyFill="false" applyFont="true" applyNumberFormat="false" applyProtection="false" borderId="61" fillId="0" fontId="9" numFmtId="0" xfId="0">
      <alignment horizontal="left" vertical="center" wrapText="true"/>
    </xf>
    <xf applyAlignment="true" applyBorder="false" applyFill="false" applyFont="true" applyNumberFormat="false" applyProtection="false" borderId="54" fillId="0" fontId="26" numFmtId="0" xfId="0">
      <alignment horizontal="left" vertical="center" wrapText="true"/>
    </xf>
    <xf applyAlignment="true" applyBorder="false" applyFill="false" applyFont="true" applyNumberFormat="false" applyProtection="false" borderId="62" fillId="0" fontId="9" numFmtId="0" xfId="0">
      <alignment horizontal="left" vertical="center" wrapText="true"/>
    </xf>
    <xf applyAlignment="true" applyBorder="false" applyFill="false" applyFont="true" applyNumberFormat="false" applyProtection="false" borderId="59" fillId="0" fontId="11" numFmtId="0" xfId="0">
      <alignment horizontal="left" vertical="center" wrapText="true"/>
    </xf>
    <xf applyAlignment="true" applyBorder="false" applyFill="false" applyFont="true" applyNumberFormat="false" applyProtection="false" borderId="60" fillId="0" fontId="11" numFmtId="0" xfId="0">
      <alignment horizontal="center" vertical="center"/>
    </xf>
    <xf applyAlignment="true" applyBorder="false" applyFill="false" applyFont="true" applyNumberFormat="false" applyProtection="false" borderId="62" fillId="0" fontId="9" numFmtId="0" xfId="0">
      <alignment horizontal="left" vertical="center" wrapText="true"/>
    </xf>
    <xf applyAlignment="true" applyBorder="false" applyFill="false" applyFont="true" applyNumberFormat="false" applyProtection="false" borderId="63" fillId="0" fontId="13" numFmtId="0" xfId="0">
      <alignment horizontal="center" vertical="center" wrapText="true"/>
    </xf>
    <xf applyAlignment="true" applyBorder="false" applyFill="false" applyFont="true" applyNumberFormat="false" applyProtection="false" borderId="54" fillId="0" fontId="11" numFmtId="0" xfId="0">
      <alignment horizontal="center" vertical="center" wrapText="true"/>
    </xf>
    <xf applyAlignment="true" applyBorder="false" applyFill="false" applyFont="true" applyNumberFormat="false" applyProtection="false" borderId="62" fillId="0" fontId="11" numFmtId="0" xfId="0">
      <alignment horizontal="left" vertical="center" wrapText="true"/>
    </xf>
    <xf applyAlignment="true" applyBorder="false" applyFill="false" applyFont="true" applyNumberFormat="false" applyProtection="false" borderId="54" fillId="0" fontId="11" numFmtId="0" xfId="0">
      <alignment horizontal="left" vertical="center" wrapText="true"/>
    </xf>
    <xf applyAlignment="true" applyBorder="false" applyFill="false" applyFont="true" applyNumberFormat="false" applyProtection="false" borderId="64" fillId="0" fontId="13" numFmtId="0" xfId="0">
      <alignment horizontal="center" vertical="center" wrapText="true"/>
    </xf>
    <xf applyAlignment="true" applyBorder="false" applyFill="false" applyFont="true" applyNumberFormat="false" applyProtection="false" borderId="0" fillId="0" fontId="11" numFmtId="0" xfId="0">
      <alignment horizontal="center" vertical="center" wrapText="true"/>
    </xf>
    <xf applyAlignment="true" applyBorder="false" applyFill="false" applyFont="true" applyNumberFormat="false" applyProtection="false" borderId="64" fillId="0" fontId="13" numFmtId="0" xfId="0">
      <alignment horizontal="center" vertical="center" wrapText="true"/>
    </xf>
    <xf applyAlignment="true" applyBorder="false" applyFill="false" applyFont="true" applyNumberFormat="false" applyProtection="false" borderId="63" fillId="0" fontId="11" numFmtId="0" xfId="0">
      <alignment horizontal="center" vertical="center"/>
    </xf>
    <xf applyAlignment="true" applyBorder="false" applyFill="false" applyFont="true" applyNumberFormat="false" applyProtection="false" borderId="54" fillId="0" fontId="11" numFmtId="0" xfId="0">
      <alignment horizontal="left" vertical="center" wrapText="true"/>
    </xf>
    <xf applyAlignment="true" applyBorder="false" applyFill="false" applyFont="true" applyNumberFormat="false" applyProtection="false" borderId="65" fillId="0" fontId="13" numFmtId="0" xfId="0">
      <alignment horizontal="center" vertical="center" wrapText="true"/>
    </xf>
    <xf applyAlignment="true" applyBorder="false" applyFill="false" applyFont="true" applyNumberFormat="false" applyProtection="false" borderId="65" fillId="0" fontId="13" numFmtId="0" xfId="0">
      <alignment horizontal="center" vertical="center" wrapText="true"/>
    </xf>
    <xf applyAlignment="true" applyBorder="false" applyFill="false" applyFont="true" applyNumberFormat="false" applyProtection="false" borderId="63" fillId="0" fontId="13" numFmtId="0" xfId="0">
      <alignment horizontal="center" vertical="center" wrapText="true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false" applyFont="true" applyNumberFormat="false" applyProtection="false" borderId="0" fillId="0" fontId="30" numFmtId="0" xfId="0">
      <alignment horizontal="center" vertical="center"/>
    </xf>
    <xf applyAlignment="true" applyBorder="false" applyFill="true" applyFont="true" applyNumberFormat="false" applyProtection="false" borderId="66" fillId="18" fontId="31" numFmtId="0" xfId="0">
      <alignment horizontal="center" vertical="center"/>
    </xf>
    <xf applyAlignment="true" applyBorder="false" applyFill="false" applyFont="true" applyNumberFormat="false" applyProtection="false" borderId="0" fillId="0" fontId="30" numFmtId="0" xfId="0">
      <alignment horizontal="center" vertical="center"/>
    </xf>
    <xf applyAlignment="true" applyBorder="false" applyFill="true" applyFont="true" applyNumberFormat="false" applyProtection="false" borderId="66" fillId="19" fontId="30" numFmtId="0" xfId="0">
      <alignment horizontal="center" vertical="center"/>
    </xf>
    <xf applyAlignment="true" applyBorder="false" applyFill="false" applyFont="true" applyNumberFormat="false" applyProtection="false" borderId="66" fillId="0" fontId="29" numFmtId="0" xfId="0">
      <alignment vertical="center"/>
    </xf>
    <xf applyAlignment="true" applyBorder="false" applyFill="false" applyFont="true" applyNumberFormat="false" applyProtection="false" borderId="66" fillId="0" fontId="30" numFmtId="0" xfId="0">
      <alignment horizontal="center" vertical="center"/>
    </xf>
    <xf applyAlignment="true" applyBorder="false" applyFill="false" applyFont="true" applyNumberFormat="false" applyProtection="false" borderId="66" fillId="0" fontId="30" numFmtId="0" xfId="0">
      <alignment vertical="center"/>
    </xf>
    <xf applyAlignment="true" applyBorder="false" applyFill="false" applyFont="true" applyNumberFormat="false" applyProtection="false" borderId="66" fillId="0" fontId="29" numFmtId="0" xfId="0">
      <alignment vertical="center" wrapText="true"/>
    </xf>
    <xf applyAlignment="true" applyBorder="false" applyFill="false" applyFont="true" applyNumberFormat="false" applyProtection="false" borderId="67" fillId="0" fontId="30" numFmtId="0" xfId="0">
      <alignment vertical="center"/>
    </xf>
    <xf applyAlignment="true" applyBorder="false" applyFill="false" applyFont="true" applyNumberFormat="false" applyProtection="false" borderId="67" fillId="0" fontId="29" numFmtId="0" xfId="0">
      <alignment vertical="center"/>
    </xf>
    <xf applyAlignment="true" applyBorder="false" applyFill="false" applyFont="true" applyNumberFormat="false" applyProtection="false" borderId="67" fillId="0" fontId="29" numFmtId="0" xfId="0">
      <alignment vertical="center" wrapText="true"/>
    </xf>
    <xf applyAlignment="true" applyBorder="false" applyFill="true" applyFont="true" applyNumberFormat="false" applyProtection="false" borderId="66" fillId="19" fontId="30" numFmtId="0" xfId="0">
      <alignment horizontal="center" vertical="center"/>
    </xf>
    <xf applyAlignment="true" applyBorder="false" applyFill="false" applyFont="true" applyNumberFormat="false" applyProtection="false" borderId="66" fillId="0" fontId="29" numFmtId="0" xfId="0">
      <alignment vertical="center"/>
    </xf>
    <xf applyAlignment="true" applyBorder="false" applyFill="false" applyFont="true" applyNumberFormat="true" applyProtection="false" borderId="66" fillId="0" fontId="29" numFmtId="176" xfId="0">
      <alignment horizontal="center" vertical="center"/>
    </xf>
    <xf applyAlignment="true" applyBorder="false" applyFill="false" applyFont="true" applyNumberFormat="false" applyProtection="false" borderId="67" fillId="0" fontId="18" numFmtId="0" xfId="0">
      <alignment horizontal="center" vertical="center"/>
    </xf>
    <xf applyAlignment="true" applyBorder="false" applyFill="false" applyFont="true" applyNumberFormat="false" applyProtection="false" borderId="66" fillId="0" fontId="29" numFmtId="0" xfId="0">
      <alignment vertical="center" wrapText="true"/>
    </xf>
    <xf applyAlignment="true" applyBorder="false" applyFill="true" applyFont="true" applyNumberFormat="false" applyProtection="false" borderId="67" fillId="18" fontId="31" numFmtId="0" xfId="0">
      <alignment horizontal="center" vertical="center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false" applyFont="true" applyNumberFormat="false" applyProtection="false" borderId="0" fillId="0" fontId="30" numFmtId="0" xfId="0">
      <alignment vertical="center"/>
    </xf>
    <xf applyAlignment="true" applyBorder="false" applyFill="true" applyFont="true" applyNumberFormat="false" applyProtection="false" borderId="68" fillId="20" fontId="36" numFmtId="0" xfId="0">
      <alignment vertical="center"/>
    </xf>
    <xf applyAlignment="true" applyBorder="false" applyFill="true" applyFont="true" applyNumberFormat="false" applyProtection="false" borderId="68" fillId="20" fontId="36" numFmtId="0" xfId="0">
      <alignment vertical="center"/>
    </xf>
    <xf applyAlignment="true" applyBorder="false" applyFill="false" applyFont="true" applyNumberFormat="false" applyProtection="false" borderId="68" fillId="0" fontId="29" numFmtId="0" xfId="0">
      <alignment vertical="center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true" applyFont="true" applyNumberFormat="false" applyProtection="false" borderId="69" fillId="21" fontId="22" numFmtId="0" xfId="0">
      <alignment horizontal="center" vertical="center"/>
    </xf>
    <xf applyAlignment="true" applyBorder="false" applyFill="true" applyFont="true" applyNumberFormat="false" applyProtection="false" borderId="0" fillId="21" fontId="37" numFmtId="0" xfId="0">
      <alignment vertical="center"/>
    </xf>
    <xf applyAlignment="true" applyBorder="false" applyFill="false" applyFont="true" applyNumberFormat="false" applyProtection="false" borderId="69" fillId="0" fontId="20" numFmtId="0" xfId="0">
      <alignment horizontal="center" vertical="center"/>
    </xf>
    <xf applyAlignment="true" applyBorder="false" applyFill="true" applyFont="true" applyNumberFormat="false" applyProtection="false" borderId="70" fillId="22" fontId="13" numFmtId="0" xfId="0">
      <alignment horizontal="center" vertical="center" wrapText="true"/>
    </xf>
    <xf applyAlignment="true" applyBorder="false" applyFill="true" applyFont="true" applyNumberFormat="false" applyProtection="false" borderId="71" fillId="22" fontId="11" numFmtId="0" xfId="0">
      <alignment horizontal="center" vertical="center"/>
    </xf>
    <xf applyAlignment="true" applyBorder="false" applyFill="true" applyFont="true" applyNumberFormat="false" applyProtection="false" borderId="72" fillId="22" fontId="9" numFmtId="0" xfId="0">
      <alignment horizontal="left" vertical="center" wrapText="true"/>
    </xf>
    <xf applyAlignment="true" applyBorder="false" applyFill="true" applyFont="true" applyNumberFormat="false" applyProtection="false" borderId="69" fillId="22" fontId="11" numFmtId="0" xfId="0">
      <alignment horizontal="left" vertical="center" wrapText="true"/>
    </xf>
    <xf applyAlignment="true" applyBorder="false" applyFill="false" applyFont="true" applyNumberFormat="true" applyProtection="false" borderId="69" fillId="0" fontId="13" numFmtId="177" xfId="0">
      <alignment horizontal="center" vertical="center"/>
    </xf>
    <xf applyAlignment="true" applyBorder="false" applyFill="true" applyFont="true" applyNumberFormat="false" applyProtection="false" borderId="70" fillId="22" fontId="11" numFmtId="0" xfId="0">
      <alignment horizontal="center" vertical="center"/>
    </xf>
    <xf applyAlignment="true" applyBorder="false" applyFill="true" applyFont="true" applyNumberFormat="false" applyProtection="false" borderId="69" fillId="22" fontId="9" numFmtId="0" xfId="0">
      <alignment horizontal="left" vertical="center" wrapText="true"/>
    </xf>
    <xf applyAlignment="true" applyBorder="false" applyFill="true" applyFont="true" applyNumberFormat="false" applyProtection="false" borderId="70" fillId="22" fontId="11" numFmtId="0" xfId="0">
      <alignment horizontal="center" vertical="center"/>
    </xf>
    <xf applyAlignment="true" applyBorder="false" applyFill="true" applyFont="true" applyNumberFormat="false" applyProtection="false" borderId="73" fillId="23" fontId="22" numFmtId="0" xfId="0">
      <alignment horizontal="center" vertical="center"/>
    </xf>
    <xf applyAlignment="true" applyBorder="false" applyFill="false" applyFont="true" applyNumberFormat="false" applyProtection="false" borderId="71" fillId="0" fontId="13" numFmtId="0" xfId="0">
      <alignment vertical="center"/>
    </xf>
    <xf applyAlignment="true" applyBorder="false" applyFill="false" applyFont="true" applyNumberFormat="true" applyProtection="false" borderId="74" fillId="0" fontId="13" numFmtId="177" xfId="0">
      <alignment vertical="center"/>
    </xf>
    <xf applyAlignment="true" applyBorder="false" applyFill="false" applyFont="true" applyNumberFormat="false" applyProtection="false" borderId="70" fillId="0" fontId="9" numFmtId="0" xfId="0">
      <alignment horizontal="right" vertical="center"/>
    </xf>
    <xf applyAlignment="true" applyBorder="false" applyFill="false" applyFont="true" applyNumberFormat="true" applyProtection="false" borderId="73" fillId="0" fontId="11" numFmtId="177" xfId="0">
      <alignment vertical="center"/>
    </xf>
    <xf applyAlignment="true" applyBorder="false" applyFill="false" applyFont="true" applyNumberFormat="true" applyProtection="false" borderId="75" fillId="0" fontId="11" numFmtId="177" xfId="0">
      <alignment vertical="center"/>
    </xf>
    <xf applyAlignment="true" applyBorder="false" applyFill="false" applyFont="true" applyNumberFormat="false" applyProtection="false" borderId="76" fillId="0" fontId="9" numFmtId="0" xfId="0">
      <alignment horizontal="right" vertical="center"/>
    </xf>
    <xf applyAlignment="true" applyBorder="false" applyFill="false" applyFont="true" applyNumberFormat="false" applyProtection="false" borderId="73" fillId="0" fontId="11" numFmtId="0" xfId="0">
      <alignment vertical="center"/>
    </xf>
    <xf applyAlignment="true" applyBorder="false" applyFill="false" applyFont="true" applyNumberFormat="false" applyProtection="false" borderId="70" fillId="0" fontId="13" numFmtId="0" xfId="0">
      <alignment vertical="center"/>
    </xf>
    <xf applyAlignment="true" applyBorder="false" applyFill="false" applyFont="true" applyNumberFormat="false" applyProtection="false" borderId="73" fillId="0" fontId="27" numFmtId="0" xfId="0">
      <alignment vertical="center"/>
    </xf>
    <xf applyAlignment="true" applyBorder="false" applyFill="false" applyFont="true" applyNumberFormat="false" applyProtection="false" borderId="73" fillId="0" fontId="10" numFmtId="0" xfId="0">
      <alignment horizontal="right" vertical="center" wrapText="true"/>
    </xf>
    <xf applyAlignment="true" applyBorder="false" applyFill="false" applyFont="true" applyNumberFormat="false" applyProtection="false" borderId="75" fillId="0" fontId="9" numFmtId="0" xfId="0">
      <alignment vertical="center"/>
    </xf>
    <xf applyAlignment="true" applyBorder="false" applyFill="false" applyFont="true" applyNumberFormat="false" applyProtection="false" borderId="76" fillId="0" fontId="11" numFmtId="0" xfId="0">
      <alignment vertical="center"/>
    </xf>
    <xf applyAlignment="true" applyBorder="false" applyFill="false" applyFont="true" applyNumberFormat="false" applyProtection="false" borderId="73" fillId="0" fontId="9" numFmtId="0" xfId="0">
      <alignment vertical="center"/>
    </xf>
    <xf applyAlignment="true" applyBorder="false" applyFill="false" applyFont="true" applyNumberFormat="false" applyProtection="false" borderId="70" fillId="0" fontId="11" numFmtId="0" xfId="0">
      <alignment vertical="center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false" applyFont="true" applyNumberFormat="false" applyProtection="false" borderId="0" fillId="0" fontId="29" numFmtId="0" xfId="0">
      <alignment vertical="center"/>
    </xf>
    <xf applyAlignment="true" applyBorder="false" applyFill="true" applyFont="true" applyNumberFormat="false" applyProtection="false" borderId="0" fillId="24" fontId="10" numFmtId="0" xfId="0">
      <alignment vertical="center"/>
    </xf>
    <xf applyAlignment="true" applyBorder="false" applyFill="true" applyFont="true" applyNumberFormat="false" applyProtection="false" borderId="0" fillId="24" fontId="36" numFmtId="0" xfId="0">
      <alignment vertical="center"/>
    </xf>
    <xf applyAlignment="true" applyBorder="false" applyFill="true" applyFont="true" applyNumberFormat="false" applyProtection="false" borderId="0" fillId="25" fontId="10" numFmtId="0" xfId="0">
      <alignment vertical="center"/>
    </xf>
    <xf applyAlignment="true" applyBorder="false" applyFill="true" applyFont="true" applyNumberFormat="false" applyProtection="false" borderId="0" fillId="25" fontId="36" numFmtId="0" xfId="0">
      <alignment vertical="center"/>
    </xf>
    <xf applyAlignment="true" applyBorder="false" applyFill="true" applyFont="true" applyNumberFormat="false" applyProtection="false" borderId="77" fillId="26" fontId="20" numFmtId="0" xfId="0">
      <alignment horizontal="center" vertical="center"/>
    </xf>
    <xf applyAlignment="true" applyBorder="false" applyFill="true" applyFont="true" applyNumberFormat="false" applyProtection="false" borderId="77" fillId="26" fontId="20" numFmtId="0" xfId="0">
      <alignment horizontal="center" vertical="center"/>
    </xf>
    <xf applyAlignment="true" applyBorder="false" applyFill="true" applyFont="true" applyNumberFormat="false" applyProtection="false" borderId="78" fillId="26" fontId="20" numFmtId="0" xfId="0">
      <alignment horizontal="center" vertical="center"/>
    </xf>
    <xf applyAlignment="true" applyBorder="false" applyFill="true" applyFont="true" applyNumberFormat="false" applyProtection="false" borderId="0" fillId="27" fontId="9" numFmtId="0" xfId="0">
      <alignment vertical="center"/>
    </xf>
    <xf applyAlignment="true" applyBorder="false" applyFill="false" applyFont="true" applyNumberFormat="false" applyProtection="false" borderId="77" fillId="0" fontId="26" numFmtId="0" xfId="0">
      <alignment horizontal="left" vertical="center" wrapText="true"/>
    </xf>
    <xf applyAlignment="true" applyBorder="false" applyFill="false" applyFont="true" applyNumberFormat="true" applyProtection="false" borderId="77" fillId="0" fontId="11" numFmtId="178" xfId="0">
      <alignment horizontal="center" vertical="center"/>
    </xf>
    <xf applyAlignment="true" applyBorder="false" applyFill="false" applyFont="true" applyNumberFormat="true" applyProtection="false" borderId="78" fillId="0" fontId="27" numFmtId="178" xfId="0">
      <alignment horizontal="center" vertical="center"/>
    </xf>
    <xf applyAlignment="true" applyBorder="false" applyFill="false" applyFont="true" applyNumberFormat="true" applyProtection="false" borderId="77" fillId="0" fontId="13" numFmtId="179" xfId="0">
      <alignment horizontal="center" vertical="center" wrapText="true"/>
    </xf>
    <xf applyAlignment="true" applyBorder="false" applyFill="false" applyFont="true" applyNumberFormat="false" applyProtection="false" borderId="79" fillId="0" fontId="26" numFmtId="0" xfId="0">
      <alignment horizontal="left" vertical="center" wrapText="true"/>
    </xf>
    <xf applyAlignment="true" applyBorder="false" applyFill="false" applyFont="true" applyNumberFormat="true" applyProtection="false" borderId="79" fillId="0" fontId="20" numFmtId="178" xfId="0">
      <alignment horizontal="center" vertical="center" wrapText="true"/>
    </xf>
    <xf applyAlignment="true" applyBorder="false" applyFill="false" applyFont="true" applyNumberFormat="true" applyProtection="false" borderId="79" fillId="0" fontId="11" numFmtId="178" xfId="0">
      <alignment horizontal="center" vertical="center"/>
    </xf>
    <xf applyAlignment="true" applyBorder="false" applyFill="false" applyFont="true" applyNumberFormat="true" applyProtection="false" borderId="80" fillId="0" fontId="27" numFmtId="178" xfId="0">
      <alignment horizontal="center" vertical="center"/>
    </xf>
    <xf applyAlignment="true" applyBorder="false" applyFill="false" applyFont="true" applyNumberFormat="true" applyProtection="false" borderId="79" fillId="0" fontId="13" numFmtId="179" xfId="0">
      <alignment horizontal="center" vertical="center" wrapText="true"/>
    </xf>
    <xf applyAlignment="true" applyBorder="false" applyFill="false" applyFont="true" applyNumberFormat="true" applyProtection="false" borderId="77" fillId="0" fontId="11" numFmtId="178" xfId="0">
      <alignment horizontal="center" vertical="center"/>
    </xf>
    <xf applyAlignment="true" applyBorder="false" applyFill="false" applyFont="true" applyNumberFormat="false" applyProtection="false" borderId="81" fillId="0" fontId="26" numFmtId="0" xfId="0">
      <alignment horizontal="left" vertical="center" wrapText="true"/>
    </xf>
    <xf applyAlignment="true" applyBorder="false" applyFill="false" applyFont="true" applyNumberFormat="false" applyProtection="false" borderId="81" fillId="0" fontId="20" numFmtId="0" xfId="0">
      <alignment horizontal="center" vertical="center" wrapText="true"/>
    </xf>
    <xf applyAlignment="true" applyBorder="false" applyFill="false" applyFont="true" applyNumberFormat="true" applyProtection="false" borderId="81" fillId="0" fontId="11" numFmtId="178" xfId="0">
      <alignment horizontal="center" vertical="center"/>
    </xf>
    <xf applyAlignment="true" applyBorder="false" applyFill="false" applyFont="true" applyNumberFormat="false" applyProtection="false" borderId="81" fillId="0" fontId="27" numFmtId="0" xfId="0">
      <alignment horizontal="center" vertical="center"/>
    </xf>
    <xf applyAlignment="true" applyBorder="false" applyFill="false" applyFont="true" applyNumberFormat="true" applyProtection="false" borderId="81" fillId="0" fontId="13" numFmtId="179" xfId="0">
      <alignment horizontal="center" vertical="center" wrapText="true"/>
    </xf>
    <xf applyAlignment="true" applyBorder="false" applyFill="false" applyFont="true" applyNumberFormat="true" applyProtection="false" borderId="79" fillId="0" fontId="11" numFmtId="178" xfId="0">
      <alignment horizontal="center" vertical="center"/>
    </xf>
    <xf applyAlignment="true" applyBorder="false" applyFill="false" applyFont="true" applyNumberFormat="true" applyProtection="false" borderId="77" fillId="0" fontId="11" numFmtId="178" xfId="0">
      <alignment horizontal="right" vertical="center"/>
    </xf>
    <xf applyAlignment="true" applyBorder="false" applyFill="false" applyFont="true" applyNumberFormat="true" applyProtection="false" borderId="77" fillId="0" fontId="26" numFmtId="178" xfId="0">
      <alignment horizontal="right" vertical="center" wrapText="true"/>
    </xf>
    <xf applyAlignment="true" applyBorder="false" applyFill="false" applyFont="true" applyNumberFormat="true" applyProtection="false" borderId="78" fillId="0" fontId="27" numFmtId="178" xfId="0">
      <alignment horizontal="center" vertical="center"/>
    </xf>
    <xf applyAlignment="true" applyBorder="false" applyFill="false" applyFont="true" applyNumberFormat="true" applyProtection="false" borderId="77" fillId="0" fontId="11" numFmtId="178" xfId="0">
      <alignment horizontal="right" vertical="center"/>
    </xf>
    <xf applyAlignment="true" applyBorder="false" applyFill="false" applyFont="true" applyNumberFormat="true" applyProtection="false" borderId="79" fillId="0" fontId="26" numFmtId="178" xfId="0">
      <alignment horizontal="right" vertical="center" wrapText="true"/>
    </xf>
    <xf applyAlignment="true" applyBorder="false" applyFill="false" applyFont="true" applyNumberFormat="true" applyProtection="false" borderId="79" fillId="0" fontId="11" numFmtId="178" xfId="0">
      <alignment horizontal="right" vertical="center"/>
    </xf>
    <xf applyAlignment="true" applyBorder="false" applyFill="false" applyFont="true" applyNumberFormat="false" applyProtection="false" borderId="80" fillId="0" fontId="27" numFmtId="0" xfId="0">
      <alignment horizontal="center" vertical="center"/>
    </xf>
    <xf applyAlignment="true" applyBorder="false" applyFill="false" applyFont="true" applyNumberFormat="true" applyProtection="false" borderId="79" fillId="0" fontId="11" numFmtId="178" xfId="0">
      <alignment horizontal="right" vertical="center"/>
    </xf>
    <xf applyAlignment="true" applyBorder="false" applyFill="false" applyFont="true" applyNumberFormat="true" applyProtection="false" borderId="81" fillId="0" fontId="26" numFmtId="178" xfId="0">
      <alignment horizontal="right" vertical="center" wrapText="true"/>
    </xf>
    <xf applyAlignment="true" applyBorder="false" applyFill="false" applyFont="true" applyNumberFormat="true" applyProtection="false" borderId="81" fillId="0" fontId="11" numFmtId="178" xfId="0">
      <alignment horizontal="right" vertical="center"/>
    </xf>
    <xf applyAlignment="true" applyBorder="false" applyFill="false" applyFont="true" applyNumberFormat="true" applyProtection="false" borderId="77" fillId="0" fontId="27" numFmtId="178" xfId="0">
      <alignment horizontal="center" vertical="center"/>
    </xf>
    <xf applyAlignment="true" applyBorder="false" applyFill="false" applyFont="true" applyNumberFormat="true" applyProtection="false" borderId="77" fillId="0" fontId="11" numFmtId="178" xfId="0">
      <alignment vertical="center"/>
    </xf>
    <xf applyAlignment="true" applyBorder="false" applyFill="false" applyFont="true" applyNumberFormat="true" applyProtection="false" borderId="77" fillId="0" fontId="27" numFmtId="178" xfId="0">
      <alignment horizontal="center" vertical="center"/>
    </xf>
    <xf applyAlignment="true" applyBorder="false" applyFill="false" applyFont="true" applyNumberFormat="false" applyProtection="false" borderId="77" fillId="0" fontId="11" numFmtId="0" xfId="0">
      <alignment vertical="center"/>
    </xf>
    <xf applyAlignment="true" applyBorder="false" applyFill="false" applyFont="true" applyNumberFormat="false" applyProtection="false" borderId="77" fillId="0" fontId="27" numFmtId="0" xfId="0">
      <alignment horizontal="center" vertical="center"/>
    </xf>
    <xf applyAlignment="true" applyBorder="false" applyFill="true" applyFont="true" applyNumberFormat="false" applyProtection="false" borderId="0" fillId="24" fontId="29" numFmtId="0" xfId="0">
      <alignment vertical="center"/>
    </xf>
    <xf applyAlignment="true" applyBorder="false" applyFill="true" applyFont="true" applyNumberFormat="false" applyProtection="false" borderId="0" fillId="26" fontId="9" numFmtId="0" xfId="0">
      <alignment vertical="center"/>
    </xf>
    <xf applyAlignment="true" applyBorder="false" applyFill="false" applyFont="true" applyNumberFormat="false" applyProtection="false" borderId="82" fillId="0" fontId="26" numFmtId="0" xfId="0">
      <alignment horizontal="center" vertical="center" wrapText="true"/>
    </xf>
    <xf applyAlignment="true" applyBorder="false" applyFill="false" applyFont="true" applyNumberFormat="false" applyProtection="false" borderId="82" fillId="0" fontId="27" numFmtId="0" xfId="0">
      <alignment horizontal="center" vertical="center"/>
    </xf>
    <xf applyAlignment="true" applyBorder="false" applyFill="false" applyFont="true" applyNumberFormat="false" applyProtection="false" borderId="77" fillId="0" fontId="38" numFmtId="0" xfId="0">
      <alignment vertical="center" wrapText="true"/>
    </xf>
    <xf applyAlignment="true" applyBorder="false" applyFill="false" applyFont="true" applyNumberFormat="false" applyProtection="false" borderId="83" fillId="0" fontId="11" numFmtId="0" xfId="0">
      <alignment horizontal="center" vertical="center"/>
    </xf>
    <xf applyAlignment="true" applyBorder="false" applyFill="false" applyFont="true" applyNumberFormat="false" applyProtection="false" borderId="83" fillId="0" fontId="27" numFmtId="0" xfId="0">
      <alignment horizontal="center" vertical="center"/>
    </xf>
    <xf applyAlignment="true" applyBorder="false" applyFill="true" applyFont="true" applyNumberFormat="false" applyProtection="false" borderId="0" fillId="26" fontId="9" numFmtId="0" xfId="0">
      <alignment vertical="center"/>
    </xf>
    <xf applyAlignment="true" applyBorder="false" applyFill="false" applyFont="true" applyNumberFormat="true" applyProtection="false" borderId="82" fillId="0" fontId="26" numFmtId="178" xfId="0">
      <alignment horizontal="center" vertical="center" wrapText="true"/>
    </xf>
    <xf applyAlignment="true" applyBorder="false" applyFill="false" applyFont="true" applyNumberFormat="true" applyProtection="false" borderId="83" fillId="0" fontId="11" numFmtId="178" xfId="0">
      <alignment horizontal="center" vertical="center"/>
    </xf>
    <xf applyAlignment="true" applyBorder="false" applyFill="false" applyFont="true" applyNumberFormat="false" applyProtection="false" borderId="77" fillId="0" fontId="1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matkinhtamduc.sg.larksuite.com/wiki/MljOwPbNli3OTPkaoo4lqvSdgye" Type="http://schemas.openxmlformats.org/officeDocument/2006/relationships/hyperlink" TargetMode="External"></Relationship><Relationship Id="rId2" Target="https://matkinhtamduc.sg.larksuite.com/wiki/WbK6wPySFiUxTUk246olKDY1gUb" Type="http://schemas.openxmlformats.org/officeDocument/2006/relationships/hyperlink" TargetMode="External"></Relationship></Relationships>
</file>

<file path=xl/worksheets/_rels/sheet4.xml.rels><?xml version="1.0" encoding="UTF-8" standalone="yes"?>
<Relationships xmlns="http://schemas.openxmlformats.org/package/2006/relationships"><Relationship Id="rId1" Target="https://matkinhtamduc.sg.larksuite.com/sheets/QqHYstKeWhEcVGtTRWTlHLPEgff?sheet=cQIKJt" Type="http://schemas.openxmlformats.org/officeDocument/2006/relationships/hyperlink" TargetMode="External"></Relationship><Relationship Id="rId2" Target="https://matkinhtamduc.sg.larksuite.com/wiki/MMRAwzMWqiyocfk2wUOllJ9tgUe?sheet=U2Qptg" Type="http://schemas.openxmlformats.org/officeDocument/2006/relationships/hyperlink" TargetMode="External"></Relationship></Relationships>
</file>

<file path=xl/worksheets/_rels/sheet5.xml.rels><?xml version="1.0" encoding="UTF-8" standalone="yes"?>
<Relationships xmlns="http://schemas.openxmlformats.org/package/2006/relationships"><Relationship Id="rId1" Target="https://matkinhtamduc.com/tich-diem-doi-qua/?utm_source=website&amp;utm_medium=noti&amp;utm_campaign=membership&amp;utm_content=hoa" Type="http://schemas.openxmlformats.org/officeDocument/2006/relationships/hyperlink" TargetMode="External"></Relationship><Relationship Id="rId2" Target="https://matkinhtamduc.sg.larksuite.com/wiki/TPNlwT0FXitUjKkyFrpl2ekVghd" Type="http://schemas.openxmlformats.org/officeDocument/2006/relationships/hyperlink" TargetMode="External"></Relationship><Relationship Id="rId3" Target="https://matkinhtamduc.sg.larksuite.com/wiki/TPNlwT0FXitUjKkyFrpl2ekVghd" Type="http://schemas.openxmlformats.org/officeDocument/2006/relationships/hyperlink" TargetMode="External"></Relationship><Relationship Id="rId4" Target="https://matkinhtamduc.sg.larksuite.com/wiki/TPNlwT0FXitUjKkyFrpl2ekVghd" Type="http://schemas.openxmlformats.org/officeDocument/2006/relationships/hyperlink" TargetMode="External"></Relationship></Relationships>
</file>

<file path=xl/worksheets/_rels/sheet7.xml.rels><?xml version="1.0" encoding="UTF-8" standalone="yes"?>
<Relationships xmlns="http://schemas.openxmlformats.org/package/2006/relationships"><Relationship Id="rId1" Target="https://www.facebook.com/gapinc.vn/videos/503075825681166/?mibextid=O563ZM&amp;rdid=RNRzzNsmAAnMg2Rl" Type="http://schemas.openxmlformats.org/officeDocument/2006/relationships/hyperlink" TargetMode="External"></Relationship></Relationships>
</file>

<file path=xl/worksheets/_rels/sheet10.xml.rels><?xml version="1.0" encoding="UTF-8" standalone="yes"?>
<Relationships xmlns="http://schemas.openxmlformats.org/package/2006/relationships"><Relationship Id="rId1" Target="https://matkinhtamduc.sg.larksuite.com/wiki/Olbdwew1siXInxkJDIzlZgaOgWf?sheet=0BaKKY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>
      <pane state="frozen" topLeftCell="C2" xSplit="2" ySplit="1"/>
    </sheetView>
  </sheetViews>
  <sheetFormatPr defaultColWidth="14" defaultRowHeight="19"/>
  <cols>
    <col collapsed="false" customWidth="true" hidden="false" max="2" min="2" style="0" width="20"/>
    <col collapsed="false" customWidth="true" hidden="false" max="6" min="6" style="0" width="23"/>
    <col collapsed="false" customWidth="true" hidden="false" max="10" min="10" style="0" width="23"/>
    <col collapsed="false" customWidth="true" hidden="false" max="14" min="14" style="0" width="14"/>
    <col collapsed="false" customWidth="true" hidden="false" max="3" min="3" style="0" width="23"/>
    <col collapsed="false" customWidth="true" hidden="false" max="7" min="7" style="0" width="23"/>
    <col collapsed="false" customWidth="true" hidden="false" max="11" min="11" style="0" width="23"/>
    <col collapsed="false" customWidth="true" hidden="false" max="15" min="15" style="0" width="14"/>
    <col collapsed="false" customWidth="true" hidden="false" max="4" min="4" style="0" width="23"/>
    <col collapsed="false" customWidth="true" hidden="false" max="8" min="8" style="0" width="23"/>
    <col collapsed="false" customWidth="true" hidden="false" max="12" min="12" style="0" width="17"/>
    <col collapsed="false" customWidth="true" hidden="false" max="16" min="16" style="0" width="14"/>
    <col collapsed="false" customWidth="true" hidden="false" max="17" min="17" style="0" width="14"/>
    <col collapsed="false" customWidth="true" hidden="false" max="1" min="1" style="0" width="2"/>
    <col collapsed="false" customWidth="true" hidden="false" max="5" min="5" style="0" width="23"/>
    <col collapsed="false" customWidth="true" hidden="false" max="9" min="9" style="0" width="25"/>
    <col collapsed="false" customWidth="true" hidden="false" max="13" min="13" style="0" width="13"/>
    <col collapsed="false" customWidth="true" hidden="false" max="18" min="18" style="0" width="14"/>
  </cols>
  <sheetData>
    <row r="1">
      <c r="A1" s="1"/>
      <c r="B1" s="1"/>
      <c r="C1" s="2" t="s">
        <v>1</v>
      </c>
      <c r="D1" s="3"/>
      <c r="E1" s="4" t="s">
        <v>2</v>
      </c>
      <c r="F1" s="3"/>
      <c r="G1" s="3"/>
      <c r="H1" s="5"/>
      <c r="I1" s="5"/>
      <c r="J1" s="5"/>
      <c r="K1" s="5"/>
      <c r="L1" s="5"/>
      <c r="M1" s="3"/>
      <c r="N1" s="3"/>
      <c r="O1" s="3"/>
      <c r="P1" s="3"/>
      <c r="Q1" s="3"/>
      <c r="R1" s="3"/>
      <c r="S1" s="6"/>
      <c r="T1" s="6"/>
      <c r="U1" s="6"/>
      <c r="V1" s="6"/>
      <c r="W1" s="6"/>
    </row>
    <row r="2">
      <c r="A2" s="7"/>
      <c r="B2" s="8"/>
      <c r="C2" s="9" t="s">
        <v>3</v>
      </c>
      <c r="D2" s="10"/>
      <c r="E2" s="10"/>
      <c r="F2" s="10"/>
      <c r="G2" s="9" t="s">
        <v>4</v>
      </c>
      <c r="H2" s="11"/>
      <c r="I2" s="11"/>
      <c r="J2" s="11"/>
      <c r="K2" s="12"/>
      <c r="L2" s="12"/>
      <c r="M2" s="10"/>
      <c r="N2" s="10"/>
      <c r="O2" s="10"/>
      <c r="P2" s="10"/>
      <c r="Q2" s="10"/>
      <c r="R2" s="10"/>
      <c r="S2" s="13"/>
      <c r="T2" s="13"/>
      <c r="U2" s="13"/>
      <c r="V2" s="13"/>
      <c r="W2" s="13"/>
    </row>
    <row r="3">
      <c r="A3" s="14"/>
      <c r="B3" s="15"/>
      <c r="C3" s="16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5</v>
      </c>
      <c r="I3" s="19" t="s">
        <v>10</v>
      </c>
      <c r="J3" s="19" t="s">
        <v>11</v>
      </c>
      <c r="K3" s="20"/>
      <c r="L3" s="20"/>
      <c r="M3" s="21"/>
      <c r="N3" s="21"/>
      <c r="O3" s="21"/>
      <c r="P3" s="21"/>
      <c r="Q3" s="21"/>
      <c r="R3" s="21"/>
    </row>
    <row r="4">
      <c r="A4" s="14"/>
      <c r="B4" s="14"/>
      <c r="C4" s="22" t="s">
        <v>12</v>
      </c>
      <c r="D4" s="23"/>
      <c r="E4" s="23"/>
      <c r="F4" s="23"/>
      <c r="G4" s="24" t="s">
        <v>13</v>
      </c>
      <c r="H4" s="25">
        <f>C5*18%</f>
      </c>
      <c r="I4" s="25">
        <f>D5*16.5%</f>
      </c>
      <c r="J4" s="26">
        <v>1238000000</v>
      </c>
      <c r="K4" s="27"/>
      <c r="L4" s="20"/>
      <c r="M4" s="21"/>
      <c r="N4" s="21"/>
      <c r="O4" s="21"/>
      <c r="P4" s="21"/>
      <c r="Q4" s="21"/>
      <c r="R4" s="21"/>
    </row>
    <row r="5">
      <c r="A5" s="14"/>
      <c r="B5" s="14"/>
      <c r="C5" s="28">
        <v>6643000000</v>
      </c>
      <c r="D5" s="28">
        <v>7500000000</v>
      </c>
      <c r="E5" s="28">
        <v>7500000000</v>
      </c>
      <c r="F5" s="29">
        <f>SUM(C5:E5)</f>
      </c>
      <c r="G5" s="24" t="s">
        <v>14</v>
      </c>
      <c r="H5" s="25">
        <f>C5*18%</f>
      </c>
      <c r="I5" s="25">
        <f>D5*16.5%</f>
      </c>
      <c r="J5" s="26">
        <v>1238000000</v>
      </c>
      <c r="K5" s="27"/>
      <c r="L5" s="20"/>
      <c r="M5" s="21"/>
      <c r="N5" s="21"/>
      <c r="O5" s="21"/>
      <c r="P5" s="21"/>
      <c r="Q5" s="21"/>
      <c r="R5" s="21"/>
    </row>
    <row r="6">
      <c r="A6" s="14"/>
      <c r="B6" s="23" t="s">
        <v>15</v>
      </c>
      <c r="C6" s="30">
        <f>C5*50%</f>
      </c>
      <c r="D6" s="31">
        <f>D5*50%</f>
      </c>
      <c r="E6" s="31">
        <f>E5*50%</f>
      </c>
      <c r="F6" s="32">
        <f>F5*50%</f>
      </c>
      <c r="G6" s="24" t="s">
        <v>16</v>
      </c>
      <c r="H6" s="25">
        <f>C5*18%</f>
      </c>
      <c r="I6" s="25">
        <f>D5*16.5%</f>
      </c>
      <c r="J6" s="26">
        <v>1238000000</v>
      </c>
      <c r="K6" s="27"/>
      <c r="L6" s="20"/>
      <c r="M6" s="21"/>
      <c r="N6" s="21"/>
      <c r="O6" s="21"/>
      <c r="P6" s="21"/>
      <c r="Q6" s="21"/>
      <c r="R6" s="21"/>
    </row>
    <row r="7">
      <c r="A7" s="14"/>
      <c r="B7" s="23" t="s">
        <v>17</v>
      </c>
      <c r="C7" s="30">
        <f>C5*50%</f>
      </c>
      <c r="D7" s="31">
        <f>D5*50%</f>
      </c>
      <c r="E7" s="31">
        <f>E5*50%</f>
      </c>
      <c r="F7" s="32">
        <f>F5*50%</f>
      </c>
      <c r="G7" s="24" t="s">
        <v>18</v>
      </c>
      <c r="H7" s="25">
        <f>C5*11%</f>
      </c>
      <c r="I7" s="26">
        <v>800000000</v>
      </c>
      <c r="J7" s="26">
        <v>800000000</v>
      </c>
      <c r="K7" s="27"/>
      <c r="L7" s="20"/>
      <c r="M7" s="21"/>
      <c r="N7" s="21"/>
      <c r="O7" s="21"/>
      <c r="P7" s="21"/>
      <c r="Q7" s="21"/>
      <c r="R7" s="21"/>
    </row>
    <row customHeight="true" ht="20" r="8">
      <c r="A8" s="14"/>
      <c r="B8" s="23"/>
      <c r="C8" s="30"/>
      <c r="D8" s="31"/>
      <c r="E8" s="33" t="s">
        <v>19</v>
      </c>
      <c r="F8" s="34">
        <f>F5*90%</f>
      </c>
      <c r="G8" s="24" t="s">
        <v>20</v>
      </c>
      <c r="H8" s="25">
        <f>C5*9%</f>
      </c>
      <c r="I8" s="26">
        <v>638500000</v>
      </c>
      <c r="J8" s="26">
        <v>638500000</v>
      </c>
      <c r="K8" s="27"/>
      <c r="L8" s="20"/>
      <c r="M8" s="21"/>
      <c r="N8" s="21"/>
      <c r="O8" s="21"/>
      <c r="P8" s="21"/>
      <c r="Q8" s="21"/>
      <c r="R8" s="21"/>
    </row>
    <row customHeight="true" ht="20" r="9">
      <c r="A9" s="14"/>
      <c r="B9" s="22" t="s">
        <v>21</v>
      </c>
      <c r="C9" s="35">
        <f>C5*90%</f>
      </c>
      <c r="D9" s="35">
        <f>D5*90%</f>
      </c>
      <c r="E9" s="35">
        <f>E5*90%</f>
      </c>
      <c r="F9" s="36"/>
      <c r="G9" s="37" t="s">
        <v>22</v>
      </c>
      <c r="H9" s="38">
        <f>C5*10%</f>
      </c>
      <c r="I9" s="26">
        <v>709000000</v>
      </c>
      <c r="J9" s="26">
        <v>709000000</v>
      </c>
      <c r="K9" s="27"/>
      <c r="L9" s="20"/>
      <c r="M9" s="21"/>
      <c r="N9" s="21"/>
      <c r="O9" s="21"/>
      <c r="P9" s="21"/>
      <c r="Q9" s="21"/>
      <c r="R9" s="21"/>
    </row>
    <row customHeight="true" ht="20" r="10">
      <c r="A10" s="14"/>
      <c r="B10" s="23"/>
      <c r="C10" s="30"/>
      <c r="D10" s="31"/>
      <c r="E10" s="31"/>
      <c r="F10" s="36"/>
      <c r="G10" s="24" t="s">
        <v>23</v>
      </c>
      <c r="H10" s="25">
        <f>C5*10%</f>
      </c>
      <c r="I10" s="26">
        <v>740000000</v>
      </c>
      <c r="J10" s="26">
        <v>740000000</v>
      </c>
      <c r="K10" s="27"/>
      <c r="L10" s="20"/>
      <c r="M10" s="21"/>
      <c r="N10" s="21"/>
      <c r="O10" s="21"/>
      <c r="P10" s="21"/>
      <c r="Q10" s="21"/>
      <c r="R10" s="21"/>
    </row>
    <row customHeight="true" ht="20" r="11">
      <c r="A11" s="14"/>
      <c r="B11" s="23"/>
      <c r="C11" s="30"/>
      <c r="D11" s="31"/>
      <c r="E11" s="31"/>
      <c r="F11" s="36"/>
      <c r="G11" s="39" t="s">
        <v>24</v>
      </c>
      <c r="H11" s="25">
        <f>C5*6%</f>
      </c>
      <c r="I11" s="26">
        <v>400000000</v>
      </c>
      <c r="J11" s="26">
        <v>400000000</v>
      </c>
      <c r="K11" s="27"/>
      <c r="L11" s="20"/>
      <c r="M11" s="21"/>
      <c r="N11" s="21"/>
      <c r="O11" s="21"/>
      <c r="P11" s="21"/>
      <c r="Q11" s="21"/>
      <c r="R11" s="21"/>
    </row>
    <row customHeight="true" ht="20" r="12">
      <c r="A12" s="14"/>
      <c r="B12" s="23"/>
      <c r="C12" s="30"/>
      <c r="D12" s="31"/>
      <c r="E12" s="31"/>
      <c r="F12" s="36"/>
      <c r="G12" s="40" t="s">
        <v>25</v>
      </c>
      <c r="H12" s="25"/>
      <c r="I12" s="26">
        <v>500000000</v>
      </c>
      <c r="J12" s="41">
        <v>500000000</v>
      </c>
      <c r="K12" s="42">
        <f>SUM(I12:J12)</f>
      </c>
      <c r="L12" s="20"/>
      <c r="M12" s="21"/>
      <c r="N12" s="21"/>
      <c r="O12" s="21"/>
      <c r="P12" s="21"/>
      <c r="Q12" s="21"/>
      <c r="R12" s="21"/>
    </row>
    <row r="13">
      <c r="A13" s="14"/>
      <c r="B13" s="14"/>
      <c r="C13" s="43" t="s">
        <v>26</v>
      </c>
      <c r="D13" s="44"/>
      <c r="E13" s="44"/>
      <c r="F13" s="44"/>
      <c r="G13" s="45" t="s">
        <v>27</v>
      </c>
      <c r="H13" s="46">
        <f>SUM(H4:H11)</f>
      </c>
      <c r="I13" s="47">
        <f>SUM(I4:I12)</f>
      </c>
      <c r="J13" s="48">
        <f>SUM(J4:J12)</f>
      </c>
      <c r="K13" s="49">
        <f>SUM(H13:J13)</f>
      </c>
      <c r="L13" s="20"/>
      <c r="M13" s="21"/>
      <c r="N13" s="21"/>
      <c r="O13" s="21"/>
      <c r="P13" s="21"/>
      <c r="Q13" s="21"/>
      <c r="R13" s="21"/>
    </row>
    <row customHeight="true" ht="30" r="14">
      <c r="A14" s="14"/>
      <c r="B14" s="14"/>
      <c r="C14" s="9" t="s">
        <v>28</v>
      </c>
      <c r="D14" s="21"/>
      <c r="E14" s="21"/>
      <c r="F14" s="21"/>
      <c r="G14" s="21"/>
      <c r="H14" s="20"/>
      <c r="I14" s="20"/>
      <c r="J14" s="20"/>
      <c r="K14" s="20"/>
      <c r="L14" s="20"/>
      <c r="M14" s="21"/>
      <c r="N14" s="21"/>
      <c r="O14" s="21"/>
      <c r="P14" s="21"/>
      <c r="Q14" s="21"/>
      <c r="R14" s="21"/>
    </row>
    <row customHeight="true" ht="29" r="15">
      <c r="A15" s="14"/>
      <c r="B15" s="14"/>
      <c r="C15" s="16" t="s">
        <v>5</v>
      </c>
      <c r="D15" s="16" t="s">
        <v>6</v>
      </c>
      <c r="E15" s="16" t="s">
        <v>7</v>
      </c>
      <c r="F15" s="17" t="s">
        <v>8</v>
      </c>
      <c r="G15" s="50" t="s">
        <v>29</v>
      </c>
      <c r="H15" s="51"/>
      <c r="I15" s="20"/>
      <c r="J15" s="20"/>
      <c r="K15" s="20"/>
      <c r="L15" s="20"/>
      <c r="M15" s="21"/>
      <c r="N15" s="21"/>
      <c r="O15" s="21"/>
      <c r="P15" s="21"/>
      <c r="Q15" s="21"/>
      <c r="R15" s="21"/>
    </row>
    <row customHeight="true" ht="21" r="16">
      <c r="A16" s="14"/>
      <c r="B16" s="14"/>
      <c r="C16" s="52" t="s">
        <v>30</v>
      </c>
      <c r="D16" s="52"/>
      <c r="E16" s="52"/>
      <c r="F16" s="52"/>
      <c r="G16" s="21"/>
      <c r="H16" s="20"/>
      <c r="I16" s="20"/>
      <c r="J16" s="20"/>
      <c r="K16" s="20"/>
      <c r="L16" s="20"/>
      <c r="M16" s="21"/>
      <c r="N16" s="21"/>
      <c r="O16" s="21"/>
      <c r="P16" s="21"/>
      <c r="Q16" s="21"/>
      <c r="R16" s="21"/>
    </row>
    <row customHeight="true" ht="29" r="17">
      <c r="A17" s="14"/>
      <c r="B17" s="53">
        <f>C17/5</f>
      </c>
      <c r="C17" s="28">
        <f>C5*23%</f>
      </c>
      <c r="D17" s="28">
        <f>D5*23%</f>
      </c>
      <c r="E17" s="28">
        <f>E5*23%</f>
      </c>
      <c r="F17" s="54">
        <f>SUM(C17:E17)</f>
      </c>
      <c r="G17" s="21"/>
      <c r="H17" s="20"/>
      <c r="I17" s="20"/>
      <c r="J17" s="20"/>
      <c r="K17" s="20"/>
      <c r="L17" s="20"/>
      <c r="M17" s="21"/>
      <c r="N17" s="21"/>
      <c r="O17" s="21"/>
      <c r="P17" s="21"/>
      <c r="Q17" s="21"/>
      <c r="R17" s="21"/>
    </row>
    <row customHeight="true" ht="12" r="18">
      <c r="A18" s="14"/>
      <c r="B18" s="14"/>
      <c r="C18" s="21"/>
      <c r="D18" s="21"/>
      <c r="E18" s="21"/>
      <c r="F18" s="21"/>
      <c r="G18" s="21"/>
      <c r="H18" s="20"/>
      <c r="I18" s="20"/>
      <c r="J18" s="20"/>
      <c r="K18" s="20"/>
      <c r="L18" s="20"/>
      <c r="M18" s="21"/>
      <c r="N18" s="21"/>
      <c r="O18" s="21"/>
      <c r="P18" s="21"/>
      <c r="Q18" s="21"/>
      <c r="R18" s="21"/>
    </row>
    <row r="19">
      <c r="A19" s="7"/>
      <c r="B19" s="7"/>
      <c r="C19" s="55" t="s">
        <v>31</v>
      </c>
      <c r="D19" s="10"/>
      <c r="E19" s="10"/>
      <c r="F19" s="10"/>
      <c r="G19" s="10"/>
      <c r="H19" s="12"/>
      <c r="I19" s="12"/>
      <c r="J19" s="12"/>
      <c r="K19" s="12"/>
      <c r="L19" s="12"/>
      <c r="M19" s="10"/>
      <c r="N19" s="10"/>
      <c r="O19" s="10"/>
      <c r="P19" s="10"/>
      <c r="Q19" s="10"/>
      <c r="R19" s="10"/>
      <c r="S19" s="13"/>
      <c r="T19" s="13"/>
      <c r="U19" s="13"/>
      <c r="V19" s="13"/>
      <c r="W19" s="13"/>
    </row>
    <row r="20">
      <c r="A20" s="14"/>
      <c r="B20" s="14"/>
      <c r="C20" s="56" t="s">
        <v>32</v>
      </c>
      <c r="D20" s="56" t="s">
        <v>33</v>
      </c>
      <c r="E20" s="56" t="s">
        <v>34</v>
      </c>
      <c r="F20" s="56" t="s">
        <v>35</v>
      </c>
      <c r="G20" s="57"/>
      <c r="H20" s="58"/>
      <c r="I20" s="58"/>
      <c r="J20" s="58"/>
      <c r="K20" s="58"/>
      <c r="L20" s="58"/>
      <c r="M20" s="21"/>
      <c r="N20" s="21"/>
      <c r="O20" s="21"/>
      <c r="P20" s="21"/>
      <c r="Q20" s="21"/>
      <c r="R20" s="21"/>
    </row>
    <row r="21">
      <c r="A21" s="14"/>
      <c r="B21" s="23" t="s">
        <v>36</v>
      </c>
      <c r="C21" s="59" t="s">
        <v>37</v>
      </c>
      <c r="D21" s="60" t="s">
        <v>38</v>
      </c>
      <c r="E21" s="61" t="s">
        <v>39</v>
      </c>
      <c r="F21" s="61" t="s">
        <v>40</v>
      </c>
      <c r="G21" s="57"/>
      <c r="H21" s="62"/>
      <c r="I21" s="62"/>
      <c r="J21" s="63"/>
      <c r="K21" s="64"/>
      <c r="L21" s="62"/>
      <c r="M21" s="21"/>
      <c r="N21" s="21"/>
      <c r="O21" s="21"/>
      <c r="P21" s="21"/>
      <c r="Q21" s="21"/>
      <c r="R21" s="21"/>
    </row>
    <row r="22">
      <c r="A22" s="14"/>
      <c r="B22" s="23" t="s">
        <v>41</v>
      </c>
      <c r="C22" s="65">
        <f>C5</f>
      </c>
      <c r="D22" s="66">
        <f>D5-I12</f>
      </c>
      <c r="E22" s="66">
        <f>E5-J12</f>
      </c>
      <c r="F22" s="66">
        <f>K12</f>
      </c>
      <c r="G22" s="67">
        <f t="shared" ref="G22:G25" si="0">SUM(C22:F22)</f>
      </c>
      <c r="H22" s="68"/>
      <c r="I22" s="68"/>
      <c r="J22" s="68"/>
      <c r="K22" s="69"/>
      <c r="L22" s="68"/>
      <c r="M22" s="21"/>
      <c r="N22" s="21"/>
      <c r="O22" s="21"/>
      <c r="P22" s="21"/>
      <c r="Q22" s="21"/>
      <c r="R22" s="21"/>
    </row>
    <row r="23">
      <c r="A23" s="70"/>
      <c r="B23" s="22" t="s">
        <v>42</v>
      </c>
      <c r="C23" s="65">
        <f>C22*5%</f>
      </c>
      <c r="D23" s="65">
        <f>D22*10%</f>
      </c>
      <c r="E23" s="65">
        <f>E22*10%</f>
      </c>
      <c r="F23" s="66">
        <f>F22*25%</f>
      </c>
      <c r="G23" s="71">
        <f t="shared" si="0"/>
      </c>
      <c r="H23" s="72">
        <f t="shared" ref="H23:H24" si="1">G23/G22</f>
      </c>
      <c r="I23" s="68"/>
      <c r="J23" s="68"/>
      <c r="K23" s="68"/>
      <c r="L23" s="68"/>
      <c r="M23" s="21"/>
      <c r="N23" s="21"/>
      <c r="O23" s="21"/>
      <c r="P23" s="21"/>
      <c r="Q23" s="21"/>
      <c r="R23" s="21"/>
    </row>
    <row r="24">
      <c r="A24" s="73"/>
      <c r="B24" s="74" t="s">
        <v>43</v>
      </c>
      <c r="C24" s="75">
        <f>C23*25%</f>
      </c>
      <c r="D24" s="76">
        <f>D23*40%</f>
      </c>
      <c r="E24" s="76">
        <f>E23*30%</f>
      </c>
      <c r="F24" s="76">
        <f>F23*60%</f>
      </c>
      <c r="G24" s="71">
        <f t="shared" si="0"/>
      </c>
      <c r="H24" s="77">
        <f t="shared" si="1"/>
      </c>
      <c r="I24" s="78"/>
      <c r="J24" s="78"/>
      <c r="K24" s="78"/>
      <c r="L24" s="78"/>
      <c r="M24" s="21"/>
      <c r="N24" s="21"/>
      <c r="O24" s="21"/>
      <c r="P24" s="21"/>
      <c r="Q24" s="21"/>
      <c r="R24" s="21"/>
    </row>
    <row r="25">
      <c r="A25" s="73"/>
      <c r="B25" s="74" t="s">
        <v>44</v>
      </c>
      <c r="C25" s="75">
        <f>C23-C24</f>
      </c>
      <c r="D25" s="76">
        <f>D23-D24</f>
      </c>
      <c r="E25" s="76">
        <f>E23-E24</f>
      </c>
      <c r="F25" s="76">
        <f>F23-F24</f>
      </c>
      <c r="G25" s="71">
        <f t="shared" si="0"/>
      </c>
      <c r="H25" s="77">
        <f>G25/G23</f>
      </c>
      <c r="I25" s="78"/>
      <c r="J25" s="78"/>
      <c r="K25" s="78"/>
      <c r="L25" s="78"/>
      <c r="M25" s="21"/>
      <c r="N25" s="21"/>
      <c r="O25" s="21"/>
      <c r="P25" s="21"/>
      <c r="Q25" s="21"/>
      <c r="R25" s="21"/>
    </row>
    <row r="26">
      <c r="A26" s="14"/>
      <c r="B26" s="14"/>
      <c r="C26" s="79" t="s">
        <v>45</v>
      </c>
      <c r="D26" s="79"/>
      <c r="E26" s="79"/>
      <c r="F26" s="79"/>
      <c r="G26" s="79"/>
      <c r="H26" s="80"/>
      <c r="I26" s="80"/>
      <c r="J26" s="80"/>
      <c r="K26" s="80"/>
      <c r="L26" s="80"/>
      <c r="M26" s="21"/>
      <c r="N26" s="21"/>
      <c r="O26" s="21"/>
      <c r="P26" s="21"/>
      <c r="Q26" s="21"/>
      <c r="R26" s="21"/>
    </row>
    <row customHeight="true" ht="12" r="27">
      <c r="A27" s="1"/>
      <c r="B27" s="1"/>
      <c r="C27" s="2"/>
      <c r="D27" s="3"/>
      <c r="E27" s="3"/>
      <c r="F27" s="3"/>
      <c r="G27" s="3"/>
      <c r="H27" s="5"/>
      <c r="I27" s="2"/>
      <c r="J27" s="2"/>
      <c r="K27" s="5"/>
      <c r="L27" s="5"/>
      <c r="M27" s="3"/>
      <c r="N27" s="3"/>
      <c r="O27" s="3"/>
      <c r="P27" s="3"/>
      <c r="Q27" s="3"/>
      <c r="R27" s="3"/>
    </row>
    <row r="28">
      <c r="A28" s="1"/>
      <c r="B28" s="1"/>
      <c r="C28" s="81" t="s">
        <v>46</v>
      </c>
      <c r="D28" s="81"/>
      <c r="E28" s="81"/>
      <c r="F28" s="81"/>
      <c r="G28" s="81"/>
      <c r="H28" s="81"/>
      <c r="I28" s="81" t="s">
        <v>47</v>
      </c>
      <c r="J28" s="81"/>
      <c r="K28" s="81"/>
      <c r="L28" s="5"/>
      <c r="M28" s="3"/>
      <c r="N28" s="3"/>
      <c r="O28" s="3"/>
      <c r="P28" s="3"/>
      <c r="Q28" s="3"/>
      <c r="R28" s="3"/>
    </row>
    <row r="29">
      <c r="A29" s="14"/>
      <c r="B29" s="14"/>
      <c r="C29" s="82"/>
      <c r="D29" s="83" t="s">
        <v>48</v>
      </c>
      <c r="E29" s="83"/>
      <c r="F29" s="84" t="s">
        <v>5</v>
      </c>
      <c r="G29" s="85" t="s">
        <v>49</v>
      </c>
      <c r="H29" s="86" t="s">
        <v>11</v>
      </c>
      <c r="I29" s="87" t="s">
        <v>5</v>
      </c>
      <c r="J29" s="88" t="s">
        <v>49</v>
      </c>
      <c r="K29" s="89" t="s">
        <v>11</v>
      </c>
      <c r="L29" s="20"/>
      <c r="M29" s="21"/>
      <c r="N29" s="21"/>
      <c r="O29" s="21"/>
      <c r="P29" s="21"/>
      <c r="Q29" s="21"/>
      <c r="R29" s="21"/>
    </row>
    <row r="30">
      <c r="A30" s="14"/>
      <c r="B30" s="14"/>
      <c r="C30" s="90" t="s">
        <v>50</v>
      </c>
      <c r="D30" s="91" t="s">
        <v>51</v>
      </c>
      <c r="E30" s="91"/>
      <c r="F30" s="91" t="s">
        <v>52</v>
      </c>
      <c r="G30" s="92" t="s">
        <v>53</v>
      </c>
      <c r="H30" s="93" t="s">
        <v>54</v>
      </c>
      <c r="I30" s="91" t="s">
        <v>52</v>
      </c>
      <c r="J30" s="92" t="s">
        <v>53</v>
      </c>
      <c r="K30" s="94" t="s">
        <v>55</v>
      </c>
      <c r="L30" s="20"/>
      <c r="M30" s="21"/>
      <c r="N30" s="21"/>
      <c r="O30" s="21"/>
      <c r="P30" s="21"/>
      <c r="Q30" s="21"/>
      <c r="R30" s="21"/>
    </row>
    <row r="31">
      <c r="A31" s="14"/>
      <c r="B31" s="14"/>
      <c r="C31" s="95" t="s">
        <v>56</v>
      </c>
      <c r="D31" s="91" t="s">
        <v>57</v>
      </c>
      <c r="E31" s="91"/>
      <c r="F31" s="96" t="s">
        <v>58</v>
      </c>
      <c r="G31" s="96" t="s">
        <v>59</v>
      </c>
      <c r="H31" s="96" t="s">
        <v>59</v>
      </c>
      <c r="I31" s="97" t="s">
        <v>60</v>
      </c>
      <c r="J31" s="97" t="s">
        <v>61</v>
      </c>
      <c r="K31" s="97" t="s">
        <v>61</v>
      </c>
      <c r="L31" s="20"/>
      <c r="M31" s="21"/>
      <c r="N31" s="21"/>
      <c r="O31" s="21"/>
      <c r="P31" s="21"/>
      <c r="Q31" s="21"/>
      <c r="R31" s="21"/>
    </row>
    <row customHeight="true" ht="21" r="32">
      <c r="A32" s="14"/>
      <c r="B32" s="14"/>
      <c r="C32" s="95"/>
      <c r="D32" s="91"/>
      <c r="E32" s="91"/>
      <c r="F32" s="96" t="s">
        <v>62</v>
      </c>
      <c r="G32" s="96" t="s">
        <v>63</v>
      </c>
      <c r="H32" s="96" t="s">
        <v>63</v>
      </c>
      <c r="I32" s="97" t="s">
        <v>64</v>
      </c>
      <c r="J32" s="97" t="s">
        <v>65</v>
      </c>
      <c r="K32" s="98" t="s">
        <v>65</v>
      </c>
      <c r="L32" s="20"/>
      <c r="M32" s="21"/>
      <c r="N32" s="21"/>
      <c r="O32" s="21"/>
      <c r="P32" s="21"/>
      <c r="Q32" s="21"/>
      <c r="R32" s="21"/>
    </row>
    <row r="33">
      <c r="A33" s="14"/>
      <c r="B33" s="14"/>
      <c r="C33" s="90" t="s">
        <v>66</v>
      </c>
      <c r="D33" s="91" t="s">
        <v>67</v>
      </c>
      <c r="E33" s="99"/>
      <c r="F33" s="100">
        <v>2</v>
      </c>
      <c r="G33" s="101">
        <v>3</v>
      </c>
      <c r="H33" s="102">
        <v>3</v>
      </c>
      <c r="I33" s="103">
        <v>1.8</v>
      </c>
      <c r="J33" s="104">
        <v>2.7</v>
      </c>
      <c r="K33" s="105">
        <v>2.7</v>
      </c>
      <c r="L33" s="20"/>
      <c r="M33" s="21"/>
      <c r="N33" s="21"/>
      <c r="O33" s="21"/>
      <c r="P33" s="21"/>
      <c r="Q33" s="21"/>
      <c r="R33" s="21"/>
    </row>
    <row customHeight="true" ht="25" r="34">
      <c r="A34" s="14"/>
      <c r="B34" s="14"/>
      <c r="C34" s="90"/>
      <c r="D34" s="91" t="s">
        <v>68</v>
      </c>
      <c r="E34" s="91"/>
      <c r="F34" s="106">
        <v>1.5</v>
      </c>
      <c r="G34" s="107">
        <v>2</v>
      </c>
      <c r="H34" s="108">
        <v>2</v>
      </c>
      <c r="I34" s="106">
        <v>1.35</v>
      </c>
      <c r="J34" s="107">
        <v>1.8</v>
      </c>
      <c r="K34" s="109">
        <v>1.8</v>
      </c>
      <c r="L34" s="20"/>
      <c r="M34" s="21"/>
      <c r="N34" s="21"/>
      <c r="O34" s="21"/>
      <c r="P34" s="21"/>
      <c r="Q34" s="21"/>
      <c r="R34" s="21"/>
    </row>
    <row customHeight="true" ht="22" r="35">
      <c r="A35" s="14"/>
      <c r="B35" s="14"/>
      <c r="C35" s="90"/>
      <c r="D35" s="91" t="s">
        <v>69</v>
      </c>
      <c r="E35" s="91"/>
      <c r="F35" s="100">
        <v>0.2</v>
      </c>
      <c r="G35" s="100">
        <v>0.2</v>
      </c>
      <c r="H35" s="110">
        <v>0.2</v>
      </c>
      <c r="I35" s="111">
        <v>0.18</v>
      </c>
      <c r="J35" s="111">
        <v>0.18</v>
      </c>
      <c r="K35" s="105">
        <v>0.18</v>
      </c>
      <c r="L35" s="20"/>
      <c r="M35" s="21"/>
      <c r="N35" s="21"/>
      <c r="O35" s="21"/>
      <c r="P35" s="21"/>
      <c r="Q35" s="21"/>
      <c r="R35" s="21"/>
    </row>
    <row customHeight="true" ht="32" r="36">
      <c r="A36" s="14"/>
      <c r="B36" s="14"/>
      <c r="C36" s="90"/>
      <c r="D36" s="91" t="s">
        <v>70</v>
      </c>
      <c r="E36" s="91"/>
      <c r="F36" s="112">
        <v>500000</v>
      </c>
      <c r="G36" s="112">
        <v>2000000</v>
      </c>
      <c r="H36" s="113">
        <v>1000000</v>
      </c>
      <c r="I36" s="114">
        <f>F36*90%</f>
      </c>
      <c r="J36" s="115">
        <f>G36*90%</f>
      </c>
      <c r="K36" s="116">
        <f>H36*90%</f>
      </c>
      <c r="L36" s="20"/>
      <c r="M36" s="21"/>
      <c r="N36" s="21"/>
      <c r="O36" s="21"/>
      <c r="P36" s="21"/>
      <c r="Q36" s="21"/>
      <c r="R36" s="21"/>
    </row>
    <row customHeight="true" ht="28" r="37">
      <c r="A37" s="14"/>
      <c r="B37" s="14"/>
      <c r="C37" s="90"/>
      <c r="D37" s="91" t="s">
        <v>71</v>
      </c>
      <c r="E37" s="91"/>
      <c r="F37" s="112" t="s">
        <v>72</v>
      </c>
      <c r="G37" s="112" t="s">
        <v>73</v>
      </c>
      <c r="H37" s="112" t="s">
        <v>73</v>
      </c>
      <c r="I37" s="114" t="s">
        <v>72</v>
      </c>
      <c r="J37" s="114" t="s">
        <v>73</v>
      </c>
      <c r="K37" s="117" t="s">
        <v>73</v>
      </c>
      <c r="L37" s="20"/>
      <c r="M37" s="21"/>
      <c r="N37" s="21"/>
      <c r="O37" s="21"/>
      <c r="P37" s="21"/>
      <c r="Q37" s="21"/>
      <c r="R37" s="21"/>
    </row>
    <row r="38">
      <c r="A38" s="14"/>
      <c r="B38" s="14"/>
      <c r="C38" s="95" t="s">
        <v>74</v>
      </c>
      <c r="D38" s="99" t="s">
        <v>75</v>
      </c>
      <c r="E38" s="99"/>
      <c r="F38" s="118" t="s">
        <v>76</v>
      </c>
      <c r="G38" s="118" t="s">
        <v>77</v>
      </c>
      <c r="H38" s="119" t="s">
        <v>78</v>
      </c>
      <c r="I38" s="120" t="s">
        <v>79</v>
      </c>
      <c r="J38" s="121" t="s">
        <v>80</v>
      </c>
      <c r="K38" s="122" t="s">
        <v>81</v>
      </c>
      <c r="L38" s="20"/>
      <c r="M38" s="21"/>
      <c r="N38" s="21"/>
      <c r="O38" s="21"/>
      <c r="P38" s="21"/>
      <c r="Q38" s="21"/>
      <c r="R38" s="21"/>
    </row>
    <row r="39">
      <c r="A39" s="14"/>
      <c r="B39" s="14"/>
      <c r="C39" s="95" t="s">
        <v>82</v>
      </c>
      <c r="D39" s="91" t="s">
        <v>83</v>
      </c>
      <c r="E39" s="99"/>
      <c r="F39" s="123" t="s">
        <v>84</v>
      </c>
      <c r="G39" s="124" t="s">
        <v>85</v>
      </c>
      <c r="H39" s="125" t="s">
        <v>85</v>
      </c>
      <c r="I39" s="123" t="s">
        <v>84</v>
      </c>
      <c r="J39" s="124" t="s">
        <v>85</v>
      </c>
      <c r="K39" s="126" t="s">
        <v>85</v>
      </c>
      <c r="L39" s="20"/>
      <c r="M39" s="21"/>
      <c r="N39" s="21"/>
      <c r="O39" s="21"/>
      <c r="P39" s="21"/>
      <c r="Q39" s="21"/>
      <c r="R39" s="21"/>
    </row>
    <row customHeight="true" ht="32" r="40">
      <c r="A40" s="14"/>
      <c r="B40" s="14"/>
      <c r="C40" s="95"/>
      <c r="D40" s="91" t="s">
        <v>86</v>
      </c>
      <c r="E40" s="91"/>
      <c r="F40" s="127" t="s">
        <v>87</v>
      </c>
      <c r="G40" s="127"/>
      <c r="H40" s="124"/>
      <c r="I40" s="127" t="s">
        <v>87</v>
      </c>
      <c r="J40" s="127"/>
      <c r="K40" s="127"/>
      <c r="L40" s="20"/>
      <c r="M40" s="21"/>
      <c r="N40" s="21"/>
      <c r="O40" s="21"/>
      <c r="P40" s="21"/>
      <c r="Q40" s="21"/>
      <c r="R40" s="21"/>
    </row>
    <row customHeight="true" ht="32" r="41">
      <c r="A41" s="14"/>
      <c r="B41" s="14"/>
      <c r="C41" s="95"/>
      <c r="D41" s="91" t="s">
        <v>88</v>
      </c>
      <c r="E41" s="91"/>
      <c r="F41" s="127" t="s">
        <v>89</v>
      </c>
      <c r="G41" s="127"/>
      <c r="H41" s="127"/>
      <c r="I41" s="127"/>
      <c r="J41" s="127"/>
      <c r="K41" s="127"/>
      <c r="L41" s="20"/>
      <c r="M41" s="21"/>
      <c r="N41" s="21"/>
      <c r="O41" s="21"/>
      <c r="P41" s="21"/>
      <c r="Q41" s="21"/>
      <c r="R41" s="21"/>
    </row>
    <row customHeight="true" ht="32" r="42">
      <c r="A42" s="14"/>
      <c r="B42" s="14"/>
      <c r="C42" s="95"/>
      <c r="D42" s="91" t="s">
        <v>90</v>
      </c>
      <c r="E42" s="91"/>
      <c r="F42" s="127" t="s">
        <v>91</v>
      </c>
      <c r="G42" s="127" t="s">
        <v>92</v>
      </c>
      <c r="H42" s="124" t="s">
        <v>93</v>
      </c>
      <c r="I42" s="127" t="s">
        <v>91</v>
      </c>
      <c r="J42" s="128" t="s">
        <v>92</v>
      </c>
      <c r="K42" s="129" t="s">
        <v>93</v>
      </c>
      <c r="L42" s="20"/>
      <c r="M42" s="21"/>
      <c r="N42" s="21"/>
      <c r="O42" s="21"/>
      <c r="P42" s="21"/>
      <c r="Q42" s="21"/>
      <c r="R42" s="21"/>
    </row>
    <row customHeight="true" ht="32" r="43">
      <c r="A43" s="14"/>
      <c r="B43" s="14"/>
      <c r="C43" s="95"/>
      <c r="D43" s="91" t="s">
        <v>94</v>
      </c>
      <c r="E43" s="91"/>
      <c r="F43" s="130" t="s">
        <v>95</v>
      </c>
      <c r="G43" s="130" t="s">
        <v>96</v>
      </c>
      <c r="H43" s="130"/>
      <c r="I43" s="131" t="s">
        <v>97</v>
      </c>
      <c r="J43" s="132" t="s">
        <v>98</v>
      </c>
      <c r="K43" s="132"/>
      <c r="L43" s="133"/>
      <c r="M43" s="134"/>
      <c r="N43" s="135"/>
      <c r="O43" s="21"/>
      <c r="P43" s="21"/>
      <c r="Q43" s="21"/>
      <c r="R43" s="21"/>
    </row>
    <row customHeight="true" ht="32" r="44">
      <c r="A44" s="14"/>
      <c r="B44" s="14"/>
      <c r="C44" s="90" t="s">
        <v>99</v>
      </c>
      <c r="D44" s="91" t="s">
        <v>100</v>
      </c>
      <c r="E44" s="91"/>
      <c r="F44" s="130" t="s">
        <v>101</v>
      </c>
      <c r="G44" s="136"/>
      <c r="H44" s="137"/>
      <c r="I44" s="138" t="s">
        <v>102</v>
      </c>
      <c r="J44" s="139"/>
      <c r="K44" s="139"/>
      <c r="L44" s="20"/>
      <c r="M44" s="21"/>
      <c r="N44" s="21"/>
      <c r="O44" s="21"/>
      <c r="P44" s="21"/>
      <c r="Q44" s="21"/>
      <c r="R44" s="21"/>
    </row>
    <row customHeight="true" ht="32" r="45">
      <c r="A45" s="14"/>
      <c r="B45" s="14"/>
      <c r="C45" s="90"/>
      <c r="D45" s="91" t="s">
        <v>103</v>
      </c>
      <c r="E45" s="91"/>
      <c r="F45" s="140" t="s">
        <v>104</v>
      </c>
      <c r="G45" s="141" t="s">
        <v>105</v>
      </c>
      <c r="H45" s="141"/>
      <c r="I45" s="142" t="s">
        <v>104</v>
      </c>
      <c r="J45" s="143" t="s">
        <v>105</v>
      </c>
      <c r="K45" s="143"/>
      <c r="L45" s="20"/>
      <c r="M45" s="21"/>
      <c r="N45" s="21"/>
      <c r="O45" s="21"/>
      <c r="P45" s="21"/>
      <c r="Q45" s="21"/>
      <c r="R45" s="21"/>
    </row>
    <row customHeight="true" ht="32" r="46">
      <c r="A46" s="14"/>
      <c r="B46" s="14"/>
      <c r="C46" s="90"/>
      <c r="D46" s="91" t="s">
        <v>106</v>
      </c>
      <c r="E46" s="91"/>
      <c r="F46" s="130" t="s">
        <v>107</v>
      </c>
      <c r="G46" s="144" t="s">
        <v>108</v>
      </c>
      <c r="H46" s="144"/>
      <c r="I46" s="145" t="s">
        <v>109</v>
      </c>
      <c r="J46" s="132" t="s">
        <v>110</v>
      </c>
      <c r="K46" s="132"/>
      <c r="L46" s="20"/>
      <c r="M46" s="21"/>
      <c r="N46" s="21"/>
      <c r="O46" s="21"/>
      <c r="P46" s="21"/>
      <c r="Q46" s="21"/>
      <c r="R46" s="21"/>
    </row>
    <row customHeight="true" ht="32" r="47">
      <c r="A47" s="14"/>
      <c r="B47" s="14"/>
      <c r="C47" s="90"/>
      <c r="D47" s="91" t="s">
        <v>111</v>
      </c>
      <c r="E47" s="91"/>
      <c r="F47" s="130" t="s">
        <v>112</v>
      </c>
      <c r="G47" s="130"/>
      <c r="H47" s="130"/>
      <c r="I47" s="130"/>
      <c r="J47" s="130"/>
      <c r="K47" s="130"/>
      <c r="L47" s="20"/>
      <c r="M47" s="21"/>
      <c r="N47" s="21"/>
      <c r="O47" s="21"/>
      <c r="P47" s="21"/>
      <c r="Q47" s="21"/>
      <c r="R47" s="21"/>
    </row>
    <row r="48">
      <c r="A48" s="14"/>
      <c r="B48" s="14"/>
      <c r="C48" s="146" t="s">
        <v>113</v>
      </c>
      <c r="D48" s="147" t="s">
        <v>114</v>
      </c>
      <c r="E48" s="147"/>
      <c r="F48" s="148" t="s">
        <v>115</v>
      </c>
      <c r="G48" s="148" t="s">
        <v>116</v>
      </c>
      <c r="H48" s="149" t="s">
        <v>117</v>
      </c>
      <c r="I48" s="150" t="s">
        <v>115</v>
      </c>
      <c r="J48" s="150" t="s">
        <v>116</v>
      </c>
      <c r="K48" s="151" t="s">
        <v>118</v>
      </c>
      <c r="L48" s="20"/>
      <c r="M48" s="21"/>
      <c r="N48" s="21"/>
      <c r="O48" s="21"/>
      <c r="P48" s="21"/>
      <c r="Q48" s="21"/>
      <c r="R48" s="21"/>
    </row>
    <row customHeight="true" ht="107" r="49">
      <c r="A49" s="14"/>
      <c r="B49" s="14"/>
      <c r="C49" s="152" t="s">
        <v>119</v>
      </c>
      <c r="D49" s="153" t="s">
        <v>120</v>
      </c>
      <c r="E49" s="147"/>
      <c r="F49" s="148" t="s">
        <v>121</v>
      </c>
      <c r="G49" s="148"/>
      <c r="H49" s="148"/>
      <c r="I49" s="148" t="s">
        <v>122</v>
      </c>
      <c r="J49" s="148" t="s">
        <v>123</v>
      </c>
      <c r="K49" s="148" t="s">
        <v>124</v>
      </c>
      <c r="L49" s="20"/>
      <c r="M49" s="21"/>
      <c r="N49" s="21"/>
      <c r="O49" s="21"/>
      <c r="P49" s="21"/>
      <c r="Q49" s="21"/>
      <c r="R49" s="21"/>
    </row>
    <row customHeight="true" ht="97" r="50">
      <c r="A50" s="14"/>
      <c r="B50" s="14"/>
      <c r="C50" s="152"/>
      <c r="D50" s="153" t="s">
        <v>125</v>
      </c>
      <c r="E50" s="153"/>
      <c r="F50" s="154" t="s">
        <v>126</v>
      </c>
      <c r="G50" s="154" t="s">
        <v>127</v>
      </c>
      <c r="H50" s="154" t="s">
        <v>127</v>
      </c>
      <c r="I50" s="154" t="s">
        <v>126</v>
      </c>
      <c r="J50" s="155" t="s">
        <v>128</v>
      </c>
      <c r="K50" s="155" t="s">
        <v>129</v>
      </c>
      <c r="L50" s="20"/>
      <c r="M50" s="21"/>
      <c r="N50" s="21"/>
      <c r="O50" s="21"/>
      <c r="P50" s="21"/>
      <c r="Q50" s="21"/>
      <c r="R50" s="21"/>
    </row>
    <row r="51">
      <c r="A51" s="14"/>
      <c r="B51" s="14"/>
      <c r="C51" s="156" t="s">
        <v>130</v>
      </c>
      <c r="D51" s="91" t="s">
        <v>131</v>
      </c>
      <c r="E51" s="99"/>
      <c r="F51" s="157" t="s">
        <v>132</v>
      </c>
      <c r="G51" s="158" t="s">
        <v>133</v>
      </c>
      <c r="H51" s="159" t="s">
        <v>134</v>
      </c>
      <c r="I51" s="158" t="s">
        <v>135</v>
      </c>
      <c r="J51" s="158" t="s">
        <v>135</v>
      </c>
      <c r="K51" s="158" t="s">
        <v>135</v>
      </c>
      <c r="L51" s="20"/>
      <c r="M51" s="21"/>
      <c r="N51" s="21"/>
      <c r="O51" s="21"/>
      <c r="P51" s="21"/>
      <c r="Q51" s="21"/>
      <c r="R51" s="21"/>
    </row>
    <row r="52">
      <c r="A52" s="14"/>
      <c r="B52" s="14"/>
      <c r="C52" s="160" t="s">
        <v>136</v>
      </c>
      <c r="D52" s="160"/>
      <c r="E52" s="160"/>
      <c r="F52" s="160"/>
      <c r="G52" s="160"/>
      <c r="H52" s="161"/>
      <c r="I52" s="162" t="s">
        <v>137</v>
      </c>
      <c r="J52" s="163"/>
      <c r="K52" s="164"/>
      <c r="L52" s="20"/>
      <c r="M52" s="21"/>
      <c r="N52" s="21"/>
      <c r="O52" s="21"/>
      <c r="P52" s="21"/>
      <c r="Q52" s="21"/>
      <c r="R52" s="21"/>
    </row>
    <row r="53">
      <c r="A53" s="14"/>
      <c r="B53" s="14"/>
      <c r="C53" s="21"/>
      <c r="D53" s="21"/>
      <c r="E53" s="21"/>
      <c r="F53" s="21"/>
      <c r="G53" s="21"/>
      <c r="H53" s="20"/>
      <c r="I53" s="20"/>
      <c r="J53" s="20"/>
      <c r="K53" s="20"/>
      <c r="L53" s="20"/>
      <c r="M53" s="21"/>
      <c r="N53" s="21"/>
      <c r="O53" s="21"/>
      <c r="P53" s="21"/>
      <c r="Q53" s="21"/>
      <c r="R53" s="21"/>
    </row>
    <row r="54">
      <c r="A54" s="14"/>
      <c r="B54" s="14"/>
      <c r="C54" s="21"/>
      <c r="D54" s="21"/>
      <c r="E54" s="21"/>
      <c r="F54" s="21"/>
      <c r="G54" s="21"/>
      <c r="H54" s="20"/>
      <c r="I54" s="20"/>
      <c r="J54" s="20"/>
      <c r="K54" s="20"/>
      <c r="L54" s="20"/>
      <c r="M54" s="21"/>
      <c r="N54" s="21"/>
      <c r="O54" s="21"/>
      <c r="P54" s="21"/>
      <c r="Q54" s="21"/>
      <c r="R54" s="21"/>
    </row>
    <row customHeight="true" ht="34" r="55">
      <c r="A55" s="14"/>
      <c r="B55" s="14"/>
      <c r="C55" s="21"/>
      <c r="D55" s="21"/>
      <c r="E55" s="21"/>
      <c r="F55" s="21"/>
      <c r="G55" s="21"/>
      <c r="H55" s="20"/>
      <c r="I55" s="20"/>
      <c r="J55" s="20"/>
      <c r="K55" s="20"/>
      <c r="L55" s="20"/>
      <c r="M55" s="21"/>
      <c r="N55" s="21"/>
      <c r="O55" s="21"/>
      <c r="P55" s="21"/>
      <c r="Q55" s="21"/>
      <c r="R55" s="21"/>
    </row>
    <row r="56">
      <c r="A56" s="14"/>
      <c r="B56" s="14"/>
      <c r="C56" s="21"/>
      <c r="D56" s="21"/>
      <c r="E56" s="21"/>
      <c r="F56" s="21"/>
      <c r="G56" s="21"/>
      <c r="H56" s="20"/>
      <c r="I56" s="20"/>
      <c r="J56" s="20"/>
      <c r="K56" s="20"/>
      <c r="L56" s="20"/>
      <c r="M56" s="21"/>
      <c r="N56" s="21"/>
      <c r="O56" s="21"/>
      <c r="P56" s="21"/>
      <c r="Q56" s="21"/>
      <c r="R56" s="21"/>
    </row>
    <row r="57">
      <c r="A57" s="14"/>
      <c r="B57" s="14"/>
      <c r="C57" s="21"/>
      <c r="D57" s="21"/>
      <c r="E57" s="21"/>
      <c r="F57" s="21"/>
      <c r="G57" s="21"/>
      <c r="H57" s="20"/>
      <c r="I57" s="20"/>
      <c r="J57" s="20"/>
      <c r="K57" s="20"/>
      <c r="L57" s="20"/>
      <c r="M57" s="21"/>
      <c r="N57" s="21"/>
      <c r="O57" s="21"/>
      <c r="P57" s="21"/>
      <c r="Q57" s="21"/>
      <c r="R57" s="21"/>
    </row>
    <row r="58">
      <c r="A58" s="14"/>
      <c r="B58" s="14"/>
      <c r="C58" s="21"/>
      <c r="D58" s="21"/>
      <c r="E58" s="21"/>
      <c r="F58" s="21"/>
      <c r="G58" s="21"/>
      <c r="H58" s="20"/>
      <c r="I58" s="20"/>
      <c r="J58" s="20"/>
      <c r="K58" s="20"/>
      <c r="L58" s="20"/>
      <c r="M58" s="21"/>
      <c r="N58" s="21"/>
      <c r="O58" s="21"/>
      <c r="P58" s="21"/>
      <c r="Q58" s="21"/>
      <c r="R58" s="21"/>
    </row>
    <row r="59">
      <c r="A59" s="14"/>
      <c r="B59" s="14"/>
      <c r="C59" s="21"/>
      <c r="D59" s="21"/>
      <c r="E59" s="21"/>
      <c r="F59" s="21"/>
      <c r="G59" s="21"/>
      <c r="H59" s="20"/>
      <c r="I59" s="20"/>
      <c r="J59" s="20"/>
      <c r="K59" s="20"/>
      <c r="L59" s="20"/>
      <c r="M59" s="21"/>
      <c r="N59" s="21"/>
      <c r="O59" s="21"/>
      <c r="P59" s="21"/>
      <c r="Q59" s="21"/>
      <c r="R59" s="21"/>
    </row>
    <row r="60">
      <c r="A60" s="14"/>
      <c r="B60" s="14"/>
      <c r="C60" s="21"/>
      <c r="D60" s="21"/>
      <c r="E60" s="21"/>
      <c r="F60" s="21"/>
      <c r="G60" s="21"/>
      <c r="H60" s="20"/>
      <c r="I60" s="20"/>
      <c r="J60" s="20"/>
      <c r="K60" s="20"/>
      <c r="L60" s="20"/>
      <c r="M60" s="21"/>
      <c r="N60" s="21"/>
      <c r="O60" s="21"/>
      <c r="P60" s="21"/>
      <c r="Q60" s="21"/>
      <c r="R60" s="21"/>
    </row>
    <row r="61">
      <c r="A61" s="14"/>
      <c r="B61" s="14"/>
      <c r="C61" s="21"/>
      <c r="D61" s="21"/>
      <c r="E61" s="21"/>
      <c r="F61" s="21"/>
      <c r="G61" s="21"/>
      <c r="H61" s="20"/>
      <c r="I61" s="20"/>
      <c r="J61" s="20"/>
      <c r="K61" s="20"/>
      <c r="L61" s="20"/>
      <c r="M61" s="21"/>
      <c r="N61" s="21"/>
      <c r="O61" s="21"/>
      <c r="P61" s="21"/>
      <c r="Q61" s="21"/>
      <c r="R61" s="21"/>
    </row>
    <row r="62">
      <c r="A62" s="14"/>
      <c r="B62" s="14"/>
      <c r="C62" s="21"/>
      <c r="D62" s="21"/>
      <c r="E62" s="21"/>
      <c r="F62" s="21"/>
      <c r="G62" s="21"/>
      <c r="H62" s="20"/>
      <c r="I62" s="20"/>
      <c r="J62" s="20"/>
      <c r="K62" s="20"/>
      <c r="L62" s="20"/>
      <c r="M62" s="21"/>
      <c r="N62" s="21"/>
      <c r="O62" s="21"/>
      <c r="P62" s="21"/>
      <c r="Q62" s="21"/>
      <c r="R62" s="21"/>
    </row>
    <row r="63">
      <c r="A63" s="14"/>
      <c r="B63" s="14"/>
      <c r="C63" s="21"/>
      <c r="D63" s="21"/>
      <c r="E63" s="21"/>
      <c r="F63" s="21"/>
      <c r="G63" s="21"/>
      <c r="H63" s="20"/>
      <c r="I63" s="20"/>
      <c r="J63" s="20"/>
      <c r="K63" s="20"/>
      <c r="L63" s="20"/>
      <c r="M63" s="21"/>
      <c r="N63" s="21"/>
      <c r="O63" s="21"/>
      <c r="P63" s="21"/>
      <c r="Q63" s="21"/>
      <c r="R63" s="21"/>
    </row>
    <row r="64">
      <c r="A64" s="14"/>
      <c r="B64" s="14"/>
      <c r="C64" s="21"/>
      <c r="D64" s="21"/>
      <c r="E64" s="21"/>
      <c r="F64" s="21"/>
      <c r="G64" s="21"/>
      <c r="H64" s="20"/>
      <c r="I64" s="20"/>
      <c r="J64" s="20"/>
      <c r="K64" s="20"/>
      <c r="L64" s="20"/>
      <c r="M64" s="21"/>
      <c r="N64" s="21"/>
      <c r="O64" s="21"/>
      <c r="P64" s="21"/>
      <c r="Q64" s="21"/>
      <c r="R64" s="21"/>
    </row>
    <row r="65">
      <c r="A65" s="14"/>
      <c r="B65" s="14"/>
      <c r="C65" s="21"/>
      <c r="D65" s="21"/>
      <c r="E65" s="21"/>
      <c r="F65" s="21"/>
      <c r="G65" s="21"/>
      <c r="H65" s="20"/>
      <c r="I65" s="20"/>
      <c r="J65" s="20"/>
      <c r="K65" s="20"/>
      <c r="L65" s="20"/>
      <c r="M65" s="21"/>
      <c r="N65" s="21"/>
      <c r="O65" s="21"/>
      <c r="P65" s="21"/>
      <c r="Q65" s="21"/>
      <c r="R65" s="21"/>
    </row>
    <row r="66">
      <c r="A66" s="14"/>
      <c r="B66" s="14"/>
      <c r="C66" s="21"/>
      <c r="D66" s="21"/>
      <c r="E66" s="21"/>
      <c r="F66" s="21"/>
      <c r="G66" s="21"/>
      <c r="H66" s="20"/>
      <c r="I66" s="20"/>
      <c r="J66" s="20"/>
      <c r="K66" s="20"/>
      <c r="L66" s="20"/>
      <c r="M66" s="21"/>
      <c r="N66" s="21"/>
      <c r="O66" s="21"/>
      <c r="P66" s="21"/>
      <c r="Q66" s="21"/>
      <c r="R66" s="21"/>
    </row>
    <row r="67">
      <c r="A67" s="14"/>
      <c r="B67" s="14"/>
      <c r="C67" s="21"/>
      <c r="D67" s="21"/>
      <c r="E67" s="21"/>
      <c r="F67" s="21"/>
      <c r="G67" s="21"/>
      <c r="H67" s="20"/>
      <c r="I67" s="20"/>
      <c r="J67" s="20"/>
      <c r="K67" s="20"/>
      <c r="L67" s="20"/>
      <c r="M67" s="21"/>
      <c r="N67" s="21"/>
      <c r="O67" s="21"/>
      <c r="P67" s="21"/>
      <c r="Q67" s="21"/>
      <c r="R67" s="21"/>
    </row>
    <row r="68">
      <c r="A68" s="14"/>
      <c r="B68" s="14"/>
      <c r="C68" s="21"/>
      <c r="D68" s="21"/>
      <c r="E68" s="21"/>
      <c r="F68" s="21"/>
      <c r="G68" s="21"/>
      <c r="H68" s="20"/>
      <c r="I68" s="20"/>
      <c r="J68" s="20"/>
      <c r="K68" s="20"/>
      <c r="L68" s="20"/>
      <c r="M68" s="21"/>
      <c r="N68" s="21"/>
      <c r="O68" s="21"/>
      <c r="P68" s="21"/>
      <c r="Q68" s="21"/>
      <c r="R68" s="21"/>
    </row>
    <row r="69">
      <c r="A69" s="14"/>
      <c r="B69" s="14"/>
      <c r="C69" s="21"/>
      <c r="D69" s="21"/>
      <c r="E69" s="21"/>
      <c r="F69" s="21"/>
      <c r="G69" s="21"/>
      <c r="H69" s="20"/>
      <c r="I69" s="20"/>
      <c r="J69" s="20"/>
      <c r="K69" s="20"/>
      <c r="L69" s="20"/>
      <c r="M69" s="21"/>
      <c r="N69" s="21"/>
      <c r="O69" s="21"/>
      <c r="P69" s="21"/>
      <c r="Q69" s="21"/>
      <c r="R69" s="21"/>
    </row>
    <row r="70">
      <c r="A70" s="14"/>
      <c r="B70" s="14"/>
      <c r="C70" s="21"/>
      <c r="D70" s="21"/>
      <c r="E70" s="21"/>
      <c r="F70" s="21"/>
      <c r="G70" s="21"/>
      <c r="H70" s="20"/>
      <c r="I70" s="20"/>
      <c r="J70" s="20"/>
      <c r="K70" s="20"/>
      <c r="L70" s="20"/>
      <c r="M70" s="21"/>
      <c r="N70" s="21"/>
      <c r="O70" s="21"/>
      <c r="P70" s="21"/>
      <c r="Q70" s="21"/>
      <c r="R70" s="21"/>
    </row>
    <row r="71">
      <c r="A71" s="14"/>
      <c r="B71" s="14"/>
      <c r="C71" s="21"/>
      <c r="D71" s="21"/>
      <c r="E71" s="21"/>
      <c r="F71" s="21"/>
      <c r="G71" s="21"/>
      <c r="H71" s="20"/>
      <c r="I71" s="20"/>
      <c r="J71" s="20"/>
      <c r="K71" s="20"/>
      <c r="L71" s="20"/>
      <c r="M71" s="21"/>
      <c r="N71" s="21"/>
      <c r="O71" s="21"/>
      <c r="P71" s="21"/>
      <c r="Q71" s="21"/>
      <c r="R71" s="21"/>
    </row>
    <row r="72">
      <c r="A72" s="14"/>
      <c r="B72" s="14"/>
      <c r="C72" s="21"/>
      <c r="D72" s="21"/>
      <c r="E72" s="21"/>
      <c r="F72" s="21"/>
      <c r="G72" s="21"/>
      <c r="H72" s="20"/>
      <c r="I72" s="20"/>
      <c r="J72" s="20"/>
      <c r="K72" s="20"/>
      <c r="L72" s="20"/>
      <c r="M72" s="21"/>
      <c r="N72" s="21"/>
      <c r="O72" s="21"/>
      <c r="P72" s="21"/>
      <c r="Q72" s="21"/>
      <c r="R72" s="21"/>
    </row>
    <row r="73">
      <c r="A73" s="14"/>
      <c r="B73" s="14"/>
      <c r="C73" s="21"/>
      <c r="D73" s="21"/>
      <c r="E73" s="21"/>
      <c r="F73" s="21"/>
      <c r="G73" s="21"/>
      <c r="H73" s="20"/>
      <c r="I73" s="20"/>
      <c r="J73" s="20"/>
      <c r="K73" s="20"/>
      <c r="L73" s="20"/>
      <c r="M73" s="21"/>
      <c r="N73" s="21"/>
      <c r="O73" s="21"/>
      <c r="P73" s="21"/>
      <c r="Q73" s="21"/>
      <c r="R73" s="21"/>
    </row>
    <row r="74">
      <c r="A74" s="14"/>
      <c r="B74" s="14"/>
      <c r="C74" s="21"/>
      <c r="D74" s="21"/>
      <c r="E74" s="21"/>
      <c r="F74" s="21"/>
      <c r="G74" s="21"/>
      <c r="H74" s="20"/>
      <c r="I74" s="20"/>
      <c r="J74" s="20"/>
      <c r="K74" s="20"/>
      <c r="L74" s="20"/>
      <c r="M74" s="21"/>
      <c r="N74" s="21"/>
      <c r="O74" s="21"/>
      <c r="P74" s="21"/>
      <c r="Q74" s="21"/>
      <c r="R74" s="21"/>
    </row>
    <row r="75">
      <c r="A75" s="14"/>
      <c r="B75" s="14"/>
      <c r="C75" s="21"/>
      <c r="D75" s="21"/>
      <c r="E75" s="21"/>
      <c r="F75" s="21"/>
      <c r="G75" s="21"/>
      <c r="H75" s="20"/>
      <c r="I75" s="20"/>
      <c r="J75" s="20"/>
      <c r="K75" s="20"/>
      <c r="L75" s="20"/>
      <c r="M75" s="21"/>
      <c r="N75" s="21"/>
      <c r="O75" s="21"/>
      <c r="P75" s="21"/>
      <c r="Q75" s="21"/>
      <c r="R75" s="21"/>
    </row>
    <row r="76">
      <c r="A76" s="14"/>
      <c r="B76" s="14"/>
      <c r="C76" s="21"/>
      <c r="D76" s="21"/>
      <c r="E76" s="21"/>
      <c r="F76" s="21"/>
      <c r="G76" s="21"/>
      <c r="H76" s="20"/>
      <c r="I76" s="20"/>
      <c r="J76" s="20"/>
      <c r="K76" s="20"/>
      <c r="L76" s="20"/>
      <c r="M76" s="21"/>
      <c r="N76" s="21"/>
      <c r="O76" s="21"/>
      <c r="P76" s="21"/>
      <c r="Q76" s="21"/>
      <c r="R76" s="21"/>
    </row>
    <row r="77">
      <c r="A77" s="14"/>
      <c r="B77" s="14"/>
      <c r="C77" s="21"/>
      <c r="D77" s="21"/>
      <c r="E77" s="21"/>
      <c r="F77" s="21"/>
      <c r="G77" s="21"/>
      <c r="H77" s="20"/>
      <c r="I77" s="20"/>
      <c r="J77" s="20"/>
      <c r="K77" s="20"/>
      <c r="L77" s="20"/>
      <c r="M77" s="21"/>
      <c r="N77" s="21"/>
      <c r="O77" s="21"/>
      <c r="P77" s="21"/>
      <c r="Q77" s="21"/>
      <c r="R77" s="21"/>
    </row>
    <row r="78">
      <c r="A78" s="14"/>
      <c r="B78" s="14"/>
      <c r="C78" s="21"/>
      <c r="D78" s="21"/>
      <c r="E78" s="21"/>
      <c r="F78" s="21"/>
      <c r="G78" s="21"/>
      <c r="H78" s="20"/>
      <c r="I78" s="20"/>
      <c r="J78" s="20"/>
      <c r="K78" s="20"/>
      <c r="L78" s="20"/>
      <c r="M78" s="21"/>
      <c r="N78" s="21"/>
      <c r="O78" s="21"/>
      <c r="P78" s="21"/>
      <c r="Q78" s="21"/>
      <c r="R78" s="21"/>
    </row>
    <row r="79">
      <c r="A79" s="14"/>
      <c r="B79" s="14"/>
      <c r="C79" s="21"/>
      <c r="D79" s="21"/>
      <c r="E79" s="21"/>
      <c r="F79" s="21"/>
      <c r="G79" s="21"/>
      <c r="H79" s="20"/>
      <c r="I79" s="20"/>
      <c r="J79" s="20"/>
      <c r="K79" s="20"/>
      <c r="L79" s="20"/>
      <c r="M79" s="21"/>
      <c r="N79" s="21"/>
      <c r="O79" s="21"/>
      <c r="P79" s="21"/>
      <c r="Q79" s="21"/>
      <c r="R79" s="21"/>
    </row>
    <row r="80">
      <c r="A80" s="14"/>
      <c r="B80" s="14"/>
      <c r="C80" s="21"/>
      <c r="D80" s="21"/>
      <c r="E80" s="21"/>
      <c r="F80" s="21"/>
      <c r="G80" s="21"/>
      <c r="H80" s="20"/>
      <c r="I80" s="20"/>
      <c r="J80" s="20"/>
      <c r="K80" s="20"/>
      <c r="L80" s="20"/>
      <c r="M80" s="21"/>
      <c r="N80" s="21"/>
      <c r="O80" s="21"/>
      <c r="P80" s="21"/>
      <c r="Q80" s="21"/>
      <c r="R80" s="21"/>
    </row>
    <row r="81">
      <c r="A81" s="14"/>
      <c r="B81" s="14"/>
      <c r="C81" s="21"/>
      <c r="D81" s="21"/>
      <c r="E81" s="21"/>
      <c r="F81" s="21"/>
      <c r="G81" s="21"/>
      <c r="H81" s="20"/>
      <c r="I81" s="20"/>
      <c r="J81" s="20"/>
      <c r="K81" s="20"/>
      <c r="L81" s="20"/>
      <c r="M81" s="21"/>
      <c r="N81" s="21"/>
      <c r="O81" s="21"/>
      <c r="P81" s="21"/>
      <c r="Q81" s="21"/>
      <c r="R81" s="21"/>
    </row>
    <row r="82">
      <c r="A82" s="14"/>
      <c r="B82" s="14"/>
      <c r="C82" s="21"/>
      <c r="D82" s="21"/>
      <c r="E82" s="21"/>
      <c r="F82" s="21"/>
      <c r="G82" s="21"/>
      <c r="H82" s="20"/>
      <c r="I82" s="20"/>
      <c r="J82" s="20"/>
      <c r="K82" s="20"/>
      <c r="L82" s="20"/>
      <c r="M82" s="21"/>
      <c r="N82" s="21"/>
      <c r="O82" s="21"/>
      <c r="P82" s="21"/>
      <c r="Q82" s="21"/>
      <c r="R82" s="21"/>
    </row>
    <row r="83">
      <c r="A83" s="14"/>
      <c r="B83" s="14"/>
      <c r="C83" s="21"/>
      <c r="D83" s="21"/>
      <c r="E83" s="21"/>
      <c r="F83" s="21"/>
      <c r="G83" s="21"/>
      <c r="H83" s="20"/>
      <c r="I83" s="20"/>
      <c r="J83" s="20"/>
      <c r="K83" s="20"/>
      <c r="L83" s="20"/>
      <c r="M83" s="21"/>
      <c r="N83" s="21"/>
      <c r="O83" s="21"/>
      <c r="P83" s="21"/>
      <c r="Q83" s="21"/>
      <c r="R83" s="21"/>
    </row>
    <row r="84">
      <c r="A84" s="14"/>
      <c r="B84" s="14"/>
      <c r="C84" s="21"/>
      <c r="D84" s="21"/>
      <c r="E84" s="21"/>
      <c r="F84" s="21"/>
      <c r="G84" s="21"/>
      <c r="H84" s="20"/>
      <c r="I84" s="20"/>
      <c r="J84" s="20"/>
      <c r="K84" s="20"/>
      <c r="L84" s="20"/>
      <c r="M84" s="21"/>
      <c r="N84" s="21"/>
      <c r="O84" s="21"/>
      <c r="P84" s="21"/>
      <c r="Q84" s="21"/>
      <c r="R84" s="21"/>
    </row>
    <row r="85">
      <c r="A85" s="14"/>
      <c r="B85" s="14"/>
      <c r="C85" s="21"/>
      <c r="D85" s="21"/>
      <c r="E85" s="21"/>
      <c r="F85" s="21"/>
      <c r="G85" s="21"/>
      <c r="H85" s="20"/>
      <c r="I85" s="20"/>
      <c r="J85" s="20"/>
      <c r="K85" s="20"/>
      <c r="L85" s="20"/>
      <c r="M85" s="21"/>
      <c r="N85" s="21"/>
      <c r="O85" s="21"/>
      <c r="P85" s="21"/>
      <c r="Q85" s="21"/>
      <c r="R85" s="21"/>
    </row>
    <row r="86">
      <c r="A86" s="14"/>
      <c r="B86" s="14"/>
      <c r="C86" s="21"/>
      <c r="D86" s="21"/>
      <c r="E86" s="21"/>
      <c r="F86" s="21"/>
      <c r="G86" s="21"/>
      <c r="H86" s="20"/>
      <c r="I86" s="20"/>
      <c r="J86" s="20"/>
      <c r="K86" s="20"/>
      <c r="L86" s="20"/>
      <c r="M86" s="21"/>
      <c r="N86" s="21"/>
      <c r="O86" s="21"/>
      <c r="P86" s="21"/>
      <c r="Q86" s="21"/>
      <c r="R86" s="21"/>
    </row>
    <row r="87">
      <c r="A87" s="14"/>
      <c r="B87" s="14"/>
      <c r="C87" s="21"/>
      <c r="D87" s="21"/>
      <c r="E87" s="21"/>
      <c r="F87" s="21"/>
      <c r="G87" s="21"/>
      <c r="H87" s="20"/>
      <c r="I87" s="20"/>
      <c r="J87" s="20"/>
      <c r="K87" s="20"/>
      <c r="L87" s="20"/>
      <c r="M87" s="21"/>
      <c r="N87" s="21"/>
      <c r="O87" s="21"/>
      <c r="P87" s="21"/>
      <c r="Q87" s="21"/>
      <c r="R87" s="21"/>
    </row>
    <row r="88">
      <c r="A88" s="14"/>
      <c r="B88" s="14"/>
      <c r="C88" s="21"/>
      <c r="D88" s="21"/>
      <c r="E88" s="21"/>
      <c r="F88" s="21"/>
      <c r="G88" s="21"/>
      <c r="H88" s="20"/>
      <c r="I88" s="20"/>
      <c r="J88" s="20"/>
      <c r="K88" s="20"/>
      <c r="L88" s="20"/>
      <c r="M88" s="21"/>
      <c r="N88" s="21"/>
      <c r="O88" s="21"/>
      <c r="P88" s="21"/>
      <c r="Q88" s="21"/>
      <c r="R88" s="21"/>
    </row>
    <row r="89">
      <c r="A89" s="14"/>
      <c r="B89" s="14"/>
      <c r="C89" s="21"/>
      <c r="D89" s="21"/>
      <c r="E89" s="21"/>
      <c r="F89" s="21"/>
      <c r="G89" s="21"/>
      <c r="H89" s="20"/>
      <c r="I89" s="20"/>
      <c r="J89" s="20"/>
      <c r="K89" s="20"/>
      <c r="L89" s="20"/>
      <c r="M89" s="21"/>
      <c r="N89" s="21"/>
      <c r="O89" s="21"/>
      <c r="P89" s="21"/>
      <c r="Q89" s="21"/>
      <c r="R89" s="21"/>
    </row>
    <row r="90">
      <c r="A90" s="14"/>
      <c r="B90" s="14"/>
      <c r="C90" s="21"/>
      <c r="D90" s="21"/>
      <c r="E90" s="21"/>
      <c r="F90" s="21"/>
      <c r="G90" s="21"/>
      <c r="H90" s="20"/>
      <c r="I90" s="20"/>
      <c r="J90" s="20"/>
      <c r="K90" s="20"/>
      <c r="L90" s="20"/>
      <c r="M90" s="21"/>
      <c r="N90" s="21"/>
      <c r="O90" s="21"/>
      <c r="P90" s="21"/>
      <c r="Q90" s="21"/>
      <c r="R90" s="21"/>
    </row>
    <row r="91">
      <c r="A91" s="14"/>
      <c r="B91" s="14"/>
      <c r="C91" s="21"/>
      <c r="D91" s="21"/>
      <c r="E91" s="21"/>
      <c r="F91" s="21"/>
      <c r="G91" s="21"/>
      <c r="H91" s="20"/>
      <c r="I91" s="20"/>
      <c r="J91" s="20"/>
      <c r="K91" s="20"/>
      <c r="L91" s="20"/>
      <c r="M91" s="21"/>
      <c r="N91" s="21"/>
      <c r="O91" s="21"/>
      <c r="P91" s="21"/>
      <c r="Q91" s="21"/>
      <c r="R91" s="21"/>
    </row>
    <row r="92">
      <c r="A92" s="14"/>
      <c r="B92" s="14"/>
      <c r="C92" s="21"/>
      <c r="D92" s="21"/>
      <c r="E92" s="21"/>
      <c r="F92" s="21"/>
      <c r="G92" s="21"/>
      <c r="H92" s="20"/>
      <c r="I92" s="20"/>
      <c r="J92" s="20"/>
      <c r="K92" s="20"/>
      <c r="L92" s="20"/>
      <c r="M92" s="21"/>
      <c r="N92" s="21"/>
      <c r="O92" s="21"/>
      <c r="P92" s="21"/>
      <c r="Q92" s="21"/>
      <c r="R92" s="21"/>
    </row>
    <row r="93">
      <c r="A93" s="14"/>
      <c r="B93" s="14"/>
      <c r="C93" s="21"/>
      <c r="D93" s="21"/>
      <c r="E93" s="21"/>
      <c r="F93" s="21"/>
      <c r="G93" s="21"/>
      <c r="H93" s="20"/>
      <c r="I93" s="20"/>
      <c r="J93" s="20"/>
      <c r="K93" s="20"/>
      <c r="L93" s="20"/>
      <c r="M93" s="21"/>
      <c r="N93" s="21"/>
      <c r="O93" s="21"/>
      <c r="P93" s="21"/>
      <c r="Q93" s="21"/>
      <c r="R93" s="21"/>
    </row>
    <row r="94">
      <c r="A94" s="14"/>
      <c r="B94" s="14"/>
      <c r="C94" s="21"/>
      <c r="D94" s="21"/>
      <c r="E94" s="21"/>
      <c r="F94" s="21"/>
      <c r="G94" s="21"/>
      <c r="H94" s="20"/>
      <c r="I94" s="20"/>
      <c r="J94" s="20"/>
      <c r="K94" s="20"/>
      <c r="L94" s="20"/>
      <c r="M94" s="21"/>
      <c r="N94" s="21"/>
      <c r="O94" s="21"/>
      <c r="P94" s="21"/>
      <c r="Q94" s="21"/>
      <c r="R94" s="21"/>
    </row>
    <row r="95">
      <c r="A95" s="14"/>
      <c r="B95" s="14"/>
      <c r="C95" s="21"/>
      <c r="D95" s="21"/>
      <c r="E95" s="21"/>
      <c r="F95" s="21"/>
      <c r="G95" s="21"/>
      <c r="H95" s="20"/>
      <c r="I95" s="20"/>
      <c r="J95" s="20"/>
      <c r="K95" s="20"/>
      <c r="L95" s="20"/>
      <c r="M95" s="21"/>
      <c r="N95" s="21"/>
      <c r="O95" s="21"/>
      <c r="P95" s="21"/>
      <c r="Q95" s="21"/>
      <c r="R95" s="21"/>
    </row>
    <row r="96">
      <c r="A96" s="14"/>
      <c r="B96" s="14"/>
      <c r="C96" s="21"/>
      <c r="D96" s="21"/>
      <c r="E96" s="21"/>
      <c r="F96" s="21"/>
      <c r="G96" s="21"/>
      <c r="H96" s="20"/>
      <c r="I96" s="20"/>
      <c r="J96" s="20"/>
      <c r="K96" s="20"/>
      <c r="L96" s="20"/>
      <c r="M96" s="21"/>
      <c r="N96" s="21"/>
      <c r="O96" s="21"/>
      <c r="P96" s="21"/>
      <c r="Q96" s="21"/>
      <c r="R96" s="21"/>
    </row>
    <row r="97">
      <c r="A97" s="14"/>
      <c r="B97" s="14"/>
      <c r="C97" s="21"/>
      <c r="D97" s="21"/>
      <c r="E97" s="21"/>
      <c r="F97" s="21"/>
      <c r="G97" s="21"/>
      <c r="H97" s="20"/>
      <c r="I97" s="20"/>
      <c r="J97" s="20"/>
      <c r="K97" s="20"/>
      <c r="L97" s="20"/>
      <c r="M97" s="21"/>
      <c r="N97" s="21"/>
      <c r="O97" s="21"/>
      <c r="P97" s="21"/>
      <c r="Q97" s="21"/>
      <c r="R97" s="21"/>
    </row>
    <row r="98">
      <c r="A98" s="14"/>
      <c r="B98" s="14"/>
      <c r="C98" s="21"/>
      <c r="D98" s="21"/>
      <c r="E98" s="21"/>
      <c r="F98" s="21"/>
      <c r="G98" s="21"/>
      <c r="H98" s="20"/>
      <c r="I98" s="20"/>
      <c r="J98" s="20"/>
      <c r="K98" s="20"/>
      <c r="L98" s="20"/>
      <c r="M98" s="21"/>
      <c r="N98" s="21"/>
      <c r="O98" s="21"/>
      <c r="P98" s="21"/>
      <c r="Q98" s="21"/>
      <c r="R98" s="21"/>
    </row>
    <row r="99">
      <c r="A99" s="14"/>
      <c r="B99" s="14"/>
      <c r="C99" s="21"/>
      <c r="D99" s="21"/>
      <c r="E99" s="21"/>
      <c r="F99" s="21"/>
      <c r="G99" s="21"/>
      <c r="H99" s="20"/>
      <c r="I99" s="20"/>
      <c r="J99" s="20"/>
      <c r="K99" s="20"/>
      <c r="L99" s="20"/>
      <c r="M99" s="21"/>
      <c r="N99" s="21"/>
      <c r="O99" s="21"/>
      <c r="P99" s="21"/>
      <c r="Q99" s="21"/>
      <c r="R99" s="21"/>
    </row>
    <row r="100">
      <c r="A100" s="14"/>
      <c r="B100" s="14"/>
      <c r="C100" s="21"/>
      <c r="D100" s="21"/>
      <c r="E100" s="21"/>
      <c r="F100" s="21"/>
      <c r="G100" s="21"/>
      <c r="H100" s="20"/>
      <c r="I100" s="20"/>
      <c r="J100" s="20"/>
      <c r="K100" s="20"/>
      <c r="L100" s="20"/>
      <c r="M100" s="21"/>
      <c r="N100" s="21"/>
      <c r="O100" s="21"/>
      <c r="P100" s="21"/>
      <c r="Q100" s="21"/>
      <c r="R100" s="21"/>
    </row>
    <row r="101">
      <c r="A101" s="14"/>
      <c r="B101" s="14"/>
      <c r="C101" s="21"/>
      <c r="D101" s="21"/>
      <c r="E101" s="21"/>
      <c r="F101" s="21"/>
      <c r="G101" s="21"/>
      <c r="H101" s="20"/>
      <c r="I101" s="20"/>
      <c r="J101" s="20"/>
      <c r="K101" s="20"/>
      <c r="L101" s="20"/>
      <c r="M101" s="21"/>
      <c r="N101" s="21"/>
      <c r="O101" s="21"/>
      <c r="P101" s="21"/>
      <c r="Q101" s="21"/>
      <c r="R101" s="21"/>
    </row>
    <row r="102">
      <c r="A102" s="14"/>
      <c r="B102" s="14"/>
      <c r="C102" s="21"/>
      <c r="D102" s="21"/>
      <c r="E102" s="21"/>
      <c r="F102" s="21"/>
      <c r="G102" s="21"/>
      <c r="H102" s="20"/>
      <c r="I102" s="20"/>
      <c r="J102" s="20"/>
      <c r="K102" s="20"/>
      <c r="L102" s="20"/>
      <c r="M102" s="21"/>
      <c r="N102" s="21"/>
      <c r="O102" s="21"/>
      <c r="P102" s="21"/>
      <c r="Q102" s="21"/>
      <c r="R102" s="21"/>
    </row>
    <row r="103">
      <c r="A103" s="14"/>
      <c r="B103" s="14"/>
      <c r="C103" s="21"/>
      <c r="D103" s="21"/>
      <c r="E103" s="21"/>
      <c r="F103" s="21"/>
      <c r="G103" s="21"/>
      <c r="H103" s="20"/>
      <c r="I103" s="20"/>
      <c r="J103" s="20"/>
      <c r="K103" s="20"/>
      <c r="L103" s="20"/>
      <c r="M103" s="21"/>
      <c r="N103" s="21"/>
      <c r="O103" s="21"/>
      <c r="P103" s="21"/>
      <c r="Q103" s="21"/>
      <c r="R103" s="21"/>
    </row>
    <row r="104">
      <c r="A104" s="14"/>
      <c r="B104" s="14"/>
      <c r="C104" s="21"/>
      <c r="D104" s="21"/>
      <c r="E104" s="21"/>
      <c r="F104" s="21"/>
      <c r="G104" s="21"/>
      <c r="H104" s="20"/>
      <c r="I104" s="20"/>
      <c r="J104" s="20"/>
      <c r="K104" s="20"/>
      <c r="L104" s="20"/>
      <c r="M104" s="21"/>
      <c r="N104" s="21"/>
      <c r="O104" s="21"/>
      <c r="P104" s="21"/>
      <c r="Q104" s="21"/>
      <c r="R104" s="21"/>
    </row>
    <row r="105">
      <c r="A105" s="14"/>
      <c r="B105" s="14"/>
      <c r="C105" s="21"/>
      <c r="D105" s="21"/>
      <c r="E105" s="21"/>
      <c r="F105" s="21"/>
      <c r="G105" s="21"/>
      <c r="H105" s="20"/>
      <c r="I105" s="20"/>
      <c r="J105" s="20"/>
      <c r="K105" s="20"/>
      <c r="L105" s="20"/>
      <c r="M105" s="21"/>
      <c r="N105" s="21"/>
      <c r="O105" s="21"/>
      <c r="P105" s="21"/>
      <c r="Q105" s="21"/>
      <c r="R105" s="21"/>
    </row>
    <row r="106">
      <c r="A106" s="14"/>
      <c r="B106" s="14"/>
      <c r="C106" s="21"/>
      <c r="D106" s="21"/>
      <c r="E106" s="21"/>
      <c r="F106" s="21"/>
      <c r="G106" s="21"/>
      <c r="H106" s="20"/>
      <c r="I106" s="20"/>
      <c r="J106" s="20"/>
      <c r="K106" s="20"/>
      <c r="L106" s="20"/>
      <c r="M106" s="21"/>
      <c r="N106" s="21"/>
      <c r="O106" s="21"/>
      <c r="P106" s="21"/>
      <c r="Q106" s="21"/>
      <c r="R106" s="21"/>
    </row>
    <row r="107">
      <c r="A107" s="14"/>
      <c r="B107" s="14"/>
      <c r="C107" s="21"/>
      <c r="D107" s="21"/>
      <c r="E107" s="21"/>
      <c r="F107" s="21"/>
      <c r="G107" s="21"/>
      <c r="H107" s="20"/>
      <c r="I107" s="20"/>
      <c r="J107" s="20"/>
      <c r="K107" s="20"/>
      <c r="L107" s="20"/>
      <c r="M107" s="21"/>
      <c r="N107" s="21"/>
      <c r="O107" s="21"/>
      <c r="P107" s="21"/>
      <c r="Q107" s="21"/>
      <c r="R107" s="21"/>
    </row>
    <row r="108">
      <c r="A108" s="14"/>
      <c r="B108" s="14"/>
      <c r="C108" s="21"/>
      <c r="D108" s="21"/>
      <c r="E108" s="21"/>
      <c r="F108" s="21"/>
      <c r="G108" s="21"/>
      <c r="H108" s="20"/>
      <c r="I108" s="20"/>
      <c r="J108" s="20"/>
      <c r="K108" s="20"/>
      <c r="L108" s="20"/>
      <c r="M108" s="21"/>
      <c r="N108" s="21"/>
      <c r="O108" s="21"/>
      <c r="P108" s="21"/>
      <c r="Q108" s="21"/>
      <c r="R108" s="21"/>
    </row>
    <row r="109">
      <c r="A109" s="14"/>
      <c r="B109" s="14"/>
      <c r="C109" s="21"/>
      <c r="D109" s="21"/>
      <c r="E109" s="21"/>
      <c r="F109" s="21"/>
      <c r="G109" s="21"/>
      <c r="H109" s="20"/>
      <c r="I109" s="20"/>
      <c r="J109" s="20"/>
      <c r="K109" s="20"/>
      <c r="L109" s="20"/>
      <c r="M109" s="21"/>
      <c r="N109" s="21"/>
      <c r="O109" s="21"/>
      <c r="P109" s="21"/>
      <c r="Q109" s="21"/>
      <c r="R109" s="21"/>
    </row>
    <row r="110">
      <c r="A110" s="14"/>
      <c r="B110" s="14"/>
      <c r="C110" s="21"/>
      <c r="D110" s="21"/>
      <c r="E110" s="21"/>
      <c r="F110" s="21"/>
      <c r="G110" s="21"/>
      <c r="H110" s="20"/>
      <c r="I110" s="20"/>
      <c r="J110" s="20"/>
      <c r="K110" s="20"/>
      <c r="L110" s="20"/>
      <c r="M110" s="21"/>
      <c r="N110" s="21"/>
      <c r="O110" s="21"/>
      <c r="P110" s="21"/>
      <c r="Q110" s="21"/>
      <c r="R110" s="21"/>
    </row>
    <row r="111">
      <c r="A111" s="14"/>
      <c r="B111" s="14"/>
      <c r="C111" s="21"/>
      <c r="D111" s="21"/>
      <c r="E111" s="21"/>
      <c r="F111" s="21"/>
      <c r="G111" s="21"/>
      <c r="H111" s="20"/>
      <c r="I111" s="20"/>
      <c r="J111" s="20"/>
      <c r="K111" s="20"/>
      <c r="L111" s="20"/>
      <c r="M111" s="21"/>
      <c r="N111" s="21"/>
      <c r="O111" s="21"/>
      <c r="P111" s="21"/>
      <c r="Q111" s="21"/>
      <c r="R111" s="21"/>
    </row>
    <row r="112">
      <c r="A112" s="14"/>
      <c r="B112" s="14"/>
      <c r="C112" s="21"/>
      <c r="D112" s="21"/>
      <c r="E112" s="21"/>
      <c r="F112" s="21"/>
      <c r="G112" s="21"/>
      <c r="H112" s="20"/>
      <c r="I112" s="20"/>
      <c r="J112" s="20"/>
      <c r="K112" s="20"/>
      <c r="L112" s="20"/>
      <c r="M112" s="21"/>
      <c r="N112" s="21"/>
      <c r="O112" s="21"/>
      <c r="P112" s="21"/>
      <c r="Q112" s="21"/>
      <c r="R112" s="21"/>
    </row>
    <row r="113">
      <c r="A113" s="14"/>
      <c r="B113" s="14"/>
      <c r="C113" s="21"/>
      <c r="D113" s="21"/>
      <c r="E113" s="21"/>
      <c r="F113" s="21"/>
      <c r="G113" s="21"/>
      <c r="H113" s="20"/>
      <c r="I113" s="20"/>
      <c r="J113" s="20"/>
      <c r="K113" s="20"/>
      <c r="L113" s="20"/>
      <c r="M113" s="21"/>
      <c r="N113" s="21"/>
      <c r="O113" s="21"/>
      <c r="P113" s="21"/>
      <c r="Q113" s="21"/>
      <c r="R113" s="21"/>
    </row>
    <row r="114">
      <c r="A114" s="14"/>
      <c r="B114" s="14"/>
      <c r="C114" s="21"/>
      <c r="D114" s="21"/>
      <c r="E114" s="21"/>
      <c r="F114" s="21"/>
      <c r="G114" s="21"/>
      <c r="H114" s="20"/>
      <c r="I114" s="20"/>
      <c r="J114" s="20"/>
      <c r="K114" s="20"/>
      <c r="L114" s="20"/>
      <c r="M114" s="21"/>
      <c r="N114" s="21"/>
      <c r="O114" s="21"/>
      <c r="P114" s="21"/>
      <c r="Q114" s="21"/>
      <c r="R114" s="21"/>
    </row>
    <row r="115">
      <c r="A115" s="14"/>
      <c r="B115" s="14"/>
      <c r="C115" s="21"/>
      <c r="D115" s="21"/>
      <c r="E115" s="21"/>
      <c r="F115" s="21"/>
      <c r="G115" s="21"/>
      <c r="H115" s="20"/>
      <c r="I115" s="20"/>
      <c r="J115" s="20"/>
      <c r="K115" s="20"/>
      <c r="L115" s="20"/>
      <c r="M115" s="21"/>
      <c r="N115" s="21"/>
      <c r="O115" s="21"/>
      <c r="P115" s="21"/>
      <c r="Q115" s="21"/>
      <c r="R115" s="21"/>
    </row>
    <row r="116">
      <c r="A116" s="14"/>
      <c r="B116" s="14"/>
      <c r="C116" s="21"/>
      <c r="D116" s="21"/>
      <c r="E116" s="21"/>
      <c r="F116" s="21"/>
      <c r="G116" s="21"/>
      <c r="H116" s="20"/>
      <c r="I116" s="20"/>
      <c r="J116" s="20"/>
      <c r="K116" s="20"/>
      <c r="L116" s="20"/>
      <c r="M116" s="21"/>
      <c r="N116" s="21"/>
      <c r="O116" s="21"/>
      <c r="P116" s="21"/>
      <c r="Q116" s="21"/>
      <c r="R116" s="21"/>
    </row>
    <row r="117">
      <c r="A117" s="14"/>
      <c r="B117" s="14"/>
      <c r="C117" s="21"/>
      <c r="D117" s="21"/>
      <c r="E117" s="21"/>
      <c r="F117" s="21"/>
      <c r="G117" s="21"/>
      <c r="H117" s="20"/>
      <c r="I117" s="20"/>
      <c r="J117" s="20"/>
      <c r="K117" s="20"/>
      <c r="L117" s="20"/>
      <c r="M117" s="21"/>
      <c r="N117" s="21"/>
      <c r="O117" s="21"/>
      <c r="P117" s="21"/>
      <c r="Q117" s="21"/>
      <c r="R117" s="21"/>
    </row>
    <row r="118">
      <c r="A118" s="14"/>
      <c r="B118" s="14"/>
      <c r="C118" s="21"/>
      <c r="D118" s="21"/>
      <c r="E118" s="21"/>
      <c r="F118" s="21"/>
      <c r="G118" s="21"/>
      <c r="H118" s="20"/>
      <c r="I118" s="20"/>
      <c r="J118" s="20"/>
      <c r="K118" s="20"/>
      <c r="L118" s="20"/>
      <c r="M118" s="21"/>
      <c r="N118" s="21"/>
      <c r="O118" s="21"/>
      <c r="P118" s="21"/>
      <c r="Q118" s="21"/>
      <c r="R118" s="21"/>
    </row>
    <row r="119">
      <c r="A119" s="14"/>
      <c r="B119" s="14"/>
      <c r="C119" s="21"/>
      <c r="D119" s="21"/>
      <c r="E119" s="21"/>
      <c r="F119" s="21"/>
      <c r="G119" s="21"/>
      <c r="H119" s="20"/>
      <c r="I119" s="20"/>
      <c r="J119" s="20"/>
      <c r="K119" s="20"/>
      <c r="L119" s="20"/>
      <c r="M119" s="21"/>
      <c r="N119" s="21"/>
      <c r="O119" s="21"/>
      <c r="P119" s="21"/>
      <c r="Q119" s="21"/>
      <c r="R119" s="21"/>
    </row>
    <row r="120">
      <c r="A120" s="14"/>
      <c r="B120" s="14"/>
      <c r="C120" s="21"/>
      <c r="D120" s="21"/>
      <c r="E120" s="21"/>
      <c r="F120" s="21"/>
      <c r="G120" s="21"/>
      <c r="H120" s="20"/>
      <c r="I120" s="20"/>
      <c r="J120" s="20"/>
      <c r="K120" s="20"/>
      <c r="L120" s="20"/>
      <c r="M120" s="21"/>
      <c r="N120" s="21"/>
      <c r="O120" s="21"/>
      <c r="P120" s="21"/>
      <c r="Q120" s="21"/>
      <c r="R120" s="21"/>
    </row>
    <row r="121">
      <c r="A121" s="14"/>
      <c r="B121" s="14"/>
      <c r="C121" s="21"/>
      <c r="D121" s="21"/>
      <c r="E121" s="21"/>
      <c r="F121" s="21"/>
      <c r="G121" s="21"/>
      <c r="H121" s="20"/>
      <c r="I121" s="20"/>
      <c r="J121" s="20"/>
      <c r="K121" s="20"/>
      <c r="L121" s="20"/>
      <c r="M121" s="21"/>
      <c r="N121" s="21"/>
      <c r="O121" s="21"/>
      <c r="P121" s="21"/>
      <c r="Q121" s="21"/>
      <c r="R121" s="21"/>
    </row>
    <row r="122">
      <c r="A122" s="14"/>
      <c r="B122" s="14"/>
      <c r="C122" s="21"/>
      <c r="D122" s="21"/>
      <c r="E122" s="21"/>
      <c r="F122" s="21"/>
      <c r="G122" s="21"/>
      <c r="H122" s="20"/>
      <c r="I122" s="20"/>
      <c r="J122" s="20"/>
      <c r="K122" s="20"/>
      <c r="L122" s="20"/>
      <c r="M122" s="21"/>
      <c r="N122" s="21"/>
      <c r="O122" s="21"/>
      <c r="P122" s="21"/>
      <c r="Q122" s="21"/>
      <c r="R122" s="21"/>
    </row>
    <row r="123">
      <c r="A123" s="14"/>
      <c r="B123" s="14"/>
      <c r="C123" s="21"/>
      <c r="D123" s="21"/>
      <c r="E123" s="21"/>
      <c r="F123" s="21"/>
      <c r="G123" s="21"/>
      <c r="H123" s="20"/>
      <c r="I123" s="20"/>
      <c r="J123" s="20"/>
      <c r="K123" s="20"/>
      <c r="L123" s="20"/>
      <c r="M123" s="21"/>
      <c r="N123" s="21"/>
      <c r="O123" s="21"/>
      <c r="P123" s="21"/>
      <c r="Q123" s="21"/>
      <c r="R123" s="21"/>
    </row>
  </sheetData>
  <mergeCells>
    <mergeCell ref="C49:C50"/>
    <mergeCell ref="D50:E50"/>
    <mergeCell ref="D51:E51"/>
    <mergeCell ref="C52:H52"/>
    <mergeCell ref="I52:K52"/>
    <mergeCell ref="C13:F13"/>
    <mergeCell ref="C4:F4"/>
    <mergeCell ref="I40:K40"/>
    <mergeCell ref="I28:K28"/>
    <mergeCell ref="C28:H28"/>
    <mergeCell ref="D34:E34"/>
    <mergeCell ref="D35:E35"/>
    <mergeCell ref="D36:E36"/>
    <mergeCell ref="C31:C32"/>
    <mergeCell ref="D31:E32"/>
    <mergeCell ref="D33:E33"/>
    <mergeCell ref="D30:E30"/>
    <mergeCell ref="D29:E29"/>
    <mergeCell ref="F40:H40"/>
    <mergeCell ref="D40:E40"/>
    <mergeCell ref="D38:E38"/>
    <mergeCell ref="D39:E39"/>
    <mergeCell ref="C33:C37"/>
    <mergeCell ref="D37:E37"/>
    <mergeCell ref="D41:E41"/>
    <mergeCell ref="D42:E42"/>
    <mergeCell ref="C26:G26"/>
    <mergeCell ref="G20:G21"/>
    <mergeCell ref="C16:F16"/>
    <mergeCell ref="F41:K41"/>
    <mergeCell ref="F49:H49"/>
    <mergeCell ref="J46:K46"/>
    <mergeCell ref="G46:H46"/>
    <mergeCell ref="D47:E47"/>
    <mergeCell ref="C44:C47"/>
    <mergeCell ref="D48:E48"/>
    <mergeCell ref="D46:E46"/>
    <mergeCell ref="D49:E49"/>
    <mergeCell ref="F47:K47"/>
    <mergeCell ref="D44:E44"/>
    <mergeCell ref="D45:E45"/>
    <mergeCell ref="F44:H44"/>
    <mergeCell ref="G45:H45"/>
    <mergeCell ref="I44:K44"/>
    <mergeCell ref="J45:K45"/>
    <mergeCell ref="C39:C43"/>
    <mergeCell ref="D43:E43"/>
    <mergeCell ref="G43:H43"/>
    <mergeCell ref="J43:K43"/>
  </mergeCells>
  <hyperlinks>
    <hyperlink ref="E1" display="Business Dashboard" r:id="rId1"/>
    <hyperlink ref="G15" display="OKR &amp; KPI Phòng CS" r:id="rId2"/>
  </hyperlink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7"/>
    <col collapsed="false" customWidth="true" hidden="false" max="3" min="3" style="0" width="7"/>
    <col collapsed="false" customWidth="true" hidden="false" max="5" min="5" style="0" width="13"/>
    <col collapsed="false" customWidth="true" hidden="false" max="7" min="7" style="0" width="17"/>
    <col collapsed="false" customWidth="true" hidden="false" max="9" min="9" style="0" width="14"/>
    <col collapsed="false" customWidth="true" hidden="false" max="2" min="2" style="0" width="23"/>
    <col collapsed="false" customWidth="true" hidden="false" max="4" min="4" style="0" width="51"/>
    <col collapsed="false" customWidth="true" hidden="false" max="6" min="6" style="0" width="59"/>
    <col collapsed="false" customWidth="true" hidden="false" max="8" min="8" style="0" width="14"/>
  </cols>
  <sheetData>
    <row customHeight="true" ht="10" r="1">
      <c r="A1" s="165"/>
      <c r="D1" s="166"/>
      <c r="E1" s="166"/>
      <c r="F1" s="166"/>
      <c r="G1" s="166"/>
    </row>
    <row r="2">
      <c r="A2" s="165"/>
      <c r="B2" s="167" t="s">
        <v>138</v>
      </c>
      <c r="C2" s="167"/>
      <c r="D2" s="167"/>
      <c r="E2" s="168"/>
      <c r="F2" s="168"/>
      <c r="G2" s="168"/>
      <c r="H2" s="166"/>
      <c r="I2" s="166"/>
      <c r="J2" s="166"/>
    </row>
    <row customHeight="true" ht="20" r="3">
      <c r="A3" s="165"/>
      <c r="B3" s="169" t="s">
        <v>139</v>
      </c>
      <c r="C3" s="169" t="s">
        <v>140</v>
      </c>
      <c r="D3" s="169"/>
      <c r="E3" s="170"/>
      <c r="F3" s="170"/>
      <c r="G3" s="171"/>
    </row>
    <row customHeight="true" ht="23" r="4">
      <c r="A4" s="170" t="s">
        <v>141</v>
      </c>
      <c r="B4" s="172">
        <f>(('A.OKR&amp;KPI 10-12.2024'!C5/31)*25)</f>
      </c>
      <c r="C4" s="172">
        <f>B4*5%</f>
      </c>
      <c r="D4" s="172"/>
      <c r="E4" s="173"/>
      <c r="F4" s="173"/>
    </row>
    <row customHeight="true" ht="19" r="5">
      <c r="A5" s="170" t="s">
        <v>142</v>
      </c>
      <c r="B5" s="172">
        <f>B4/20</f>
      </c>
      <c r="C5" s="172">
        <f>C4/15</f>
      </c>
      <c r="D5" s="172"/>
      <c r="E5" s="171"/>
      <c r="F5" s="171"/>
      <c r="G5" s="166"/>
      <c r="H5" s="166"/>
      <c r="I5" s="166"/>
      <c r="J5" s="166"/>
      <c r="K5" s="166"/>
      <c r="L5" s="166"/>
    </row>
    <row customHeight="true" ht="19" r="6">
      <c r="A6" s="170"/>
      <c r="B6" s="174" t="s">
        <v>143</v>
      </c>
      <c r="C6" s="174"/>
      <c r="D6" s="174"/>
      <c r="E6" s="166"/>
      <c r="F6" s="166"/>
      <c r="G6" s="166"/>
      <c r="H6" s="166"/>
      <c r="I6" s="166"/>
      <c r="J6" s="166"/>
      <c r="K6" s="166"/>
      <c r="L6" s="166"/>
    </row>
    <row customHeight="true" ht="19" r="7">
      <c r="A7" s="170"/>
      <c r="B7" s="175" t="s">
        <v>144</v>
      </c>
      <c r="C7" s="172">
        <f>C4*90%</f>
      </c>
      <c r="D7" s="172"/>
      <c r="E7" s="166"/>
      <c r="F7" s="166"/>
      <c r="G7" s="166"/>
      <c r="H7" s="166"/>
      <c r="I7" s="166"/>
      <c r="J7" s="166"/>
      <c r="K7" s="166"/>
      <c r="L7" s="166"/>
    </row>
    <row customHeight="true" ht="19" r="8">
      <c r="A8" s="170"/>
      <c r="B8" s="176" t="s">
        <v>145</v>
      </c>
      <c r="C8" s="172">
        <f>C7*90%</f>
      </c>
      <c r="D8" s="172"/>
      <c r="E8" s="177">
        <f t="shared" ref="E8:E10" si="0">C8/20</f>
      </c>
      <c r="F8" s="178" t="s">
        <v>142</v>
      </c>
      <c r="G8" s="179"/>
      <c r="H8" s="166"/>
      <c r="I8" s="166"/>
      <c r="J8" s="166"/>
      <c r="K8" s="166"/>
      <c r="L8" s="166"/>
    </row>
    <row customHeight="true" ht="19" r="9">
      <c r="A9" s="170"/>
      <c r="B9" s="176" t="s">
        <v>146</v>
      </c>
      <c r="C9" s="172">
        <f>C7*3%</f>
      </c>
      <c r="D9" s="172"/>
      <c r="E9" s="177">
        <f t="shared" si="0"/>
      </c>
      <c r="F9" s="178" t="s">
        <v>142</v>
      </c>
      <c r="G9" s="166"/>
      <c r="H9" s="166"/>
      <c r="I9" s="166"/>
      <c r="J9" s="166"/>
      <c r="K9" s="166"/>
      <c r="L9" s="166"/>
    </row>
    <row customHeight="true" ht="19" r="10">
      <c r="A10" s="170"/>
      <c r="B10" s="176" t="s">
        <v>147</v>
      </c>
      <c r="C10" s="172">
        <f>C7*2%</f>
      </c>
      <c r="D10" s="172"/>
      <c r="E10" s="177">
        <f t="shared" si="0"/>
      </c>
      <c r="F10" s="178" t="s">
        <v>142</v>
      </c>
      <c r="G10" s="166"/>
      <c r="H10" s="166"/>
      <c r="I10" s="166"/>
      <c r="J10" s="166"/>
      <c r="K10" s="166"/>
      <c r="L10" s="166"/>
    </row>
    <row customHeight="true" ht="19" r="11">
      <c r="A11" s="170"/>
      <c r="B11" s="175" t="s">
        <v>148</v>
      </c>
      <c r="C11" s="172">
        <f>C4-C7</f>
      </c>
      <c r="D11" s="172"/>
      <c r="E11" s="166"/>
      <c r="F11" s="166"/>
      <c r="G11" s="166"/>
      <c r="H11" s="166"/>
      <c r="I11" s="166"/>
      <c r="J11" s="166"/>
      <c r="K11" s="166"/>
      <c r="L11" s="166"/>
    </row>
    <row customHeight="true" ht="19" r="12">
      <c r="A12" s="170"/>
      <c r="B12" s="176" t="s">
        <v>149</v>
      </c>
      <c r="C12" s="172">
        <f>C11*40%</f>
      </c>
      <c r="D12" s="172"/>
      <c r="E12" s="166"/>
      <c r="G12" s="166"/>
      <c r="H12" s="166"/>
      <c r="I12" s="166"/>
      <c r="J12" s="166"/>
      <c r="K12" s="166"/>
      <c r="L12" s="166"/>
    </row>
    <row customHeight="true" ht="19" r="13">
      <c r="A13" s="170"/>
      <c r="B13" s="180" t="s">
        <v>150</v>
      </c>
      <c r="C13" s="172">
        <f>C11*30%</f>
      </c>
      <c r="D13" s="172"/>
      <c r="E13" s="166"/>
      <c r="F13" s="166"/>
      <c r="G13" s="166"/>
      <c r="H13" s="166"/>
      <c r="I13" s="166"/>
      <c r="J13" s="166"/>
      <c r="K13" s="166"/>
      <c r="L13" s="166"/>
    </row>
    <row customHeight="true" ht="35" r="14">
      <c r="A14" s="170"/>
      <c r="B14" s="181" t="s">
        <v>151</v>
      </c>
      <c r="C14" s="172">
        <f>C11*30%</f>
      </c>
      <c r="D14" s="172"/>
    </row>
    <row customHeight="true" ht="35" r="15">
      <c r="A15" s="170"/>
      <c r="B15" s="182" t="s">
        <v>152</v>
      </c>
      <c r="C15" s="172" t="s">
        <v>153</v>
      </c>
      <c r="D15" s="172"/>
      <c r="E15" s="171" t="s">
        <v>154</v>
      </c>
      <c r="F15" s="166"/>
      <c r="G15" s="166"/>
      <c r="H15" s="166"/>
      <c r="I15" s="166"/>
      <c r="J15" s="166"/>
      <c r="K15" s="166"/>
      <c r="L15" s="166"/>
    </row>
    <row customHeight="true" ht="19" r="16">
      <c r="A16" s="170"/>
      <c r="B16" s="183"/>
      <c r="C16" s="183"/>
      <c r="D16" s="166"/>
      <c r="E16" s="166"/>
      <c r="F16" s="166"/>
      <c r="G16" s="166"/>
      <c r="H16" s="166"/>
      <c r="I16" s="166"/>
      <c r="J16" s="166"/>
      <c r="K16" s="166"/>
      <c r="L16" s="166"/>
    </row>
    <row customHeight="true" ht="18" r="17">
      <c r="A17" s="165"/>
      <c r="B17" s="184" t="s">
        <v>155</v>
      </c>
      <c r="C17" s="167"/>
      <c r="D17" s="185"/>
      <c r="E17" s="186" t="s">
        <v>156</v>
      </c>
      <c r="F17" s="186" t="s">
        <v>157</v>
      </c>
      <c r="G17" s="166"/>
      <c r="H17" s="166"/>
      <c r="I17" s="166"/>
      <c r="J17" s="166"/>
      <c r="K17" s="166"/>
      <c r="L17" s="166"/>
    </row>
    <row customHeight="true" ht="32" r="18">
      <c r="A18" s="165"/>
      <c r="B18" s="187" t="s">
        <v>158</v>
      </c>
      <c r="C18" s="188" t="s">
        <v>159</v>
      </c>
      <c r="D18" s="189"/>
      <c r="E18" s="190" t="s">
        <v>160</v>
      </c>
      <c r="F18" s="190"/>
      <c r="G18" s="166"/>
    </row>
    <row customHeight="true" ht="27" r="19">
      <c r="A19" s="165"/>
      <c r="B19" s="191" t="s">
        <v>161</v>
      </c>
      <c r="C19" s="188" t="s">
        <v>162</v>
      </c>
      <c r="D19" s="189"/>
      <c r="E19" s="192">
        <v>1.8</v>
      </c>
      <c r="F19" s="193" t="s">
        <v>163</v>
      </c>
      <c r="G19" s="166"/>
    </row>
    <row customHeight="true" ht="26" r="20">
      <c r="A20" s="165"/>
      <c r="B20" s="191"/>
      <c r="C20" s="188" t="s">
        <v>164</v>
      </c>
      <c r="D20" s="189"/>
      <c r="E20" s="192">
        <f>('A.OKR&amp;KPI 10-12.2024'!I34/31)*20</f>
      </c>
      <c r="F20" s="193"/>
      <c r="G20" s="166"/>
    </row>
    <row r="21">
      <c r="A21" s="165"/>
      <c r="B21" s="191"/>
      <c r="C21" s="188" t="s">
        <v>165</v>
      </c>
      <c r="D21" s="189"/>
      <c r="E21" s="192">
        <f>('A.OKR&amp;KPI 10-12.2024'!I35/31)*20</f>
      </c>
      <c r="F21" s="193" t="s">
        <v>166</v>
      </c>
      <c r="G21" s="166"/>
    </row>
    <row r="22">
      <c r="A22" s="165"/>
      <c r="B22" s="191"/>
      <c r="C22" s="188" t="s">
        <v>167</v>
      </c>
      <c r="D22" s="189"/>
      <c r="E22" s="194">
        <f>('A.OKR&amp;KPI 10-12.2024'!I36/31)*20</f>
      </c>
      <c r="F22" s="193" t="s">
        <v>168</v>
      </c>
      <c r="G22" s="166"/>
    </row>
    <row r="23">
      <c r="A23" s="165"/>
      <c r="B23" s="191"/>
      <c r="C23" s="188" t="s">
        <v>169</v>
      </c>
      <c r="D23" s="189"/>
      <c r="E23" s="194" t="s">
        <v>170</v>
      </c>
      <c r="F23" s="190" t="s">
        <v>171</v>
      </c>
      <c r="G23" s="166"/>
    </row>
    <row r="24">
      <c r="A24" s="165"/>
      <c r="B24" s="195" t="s">
        <v>172</v>
      </c>
      <c r="C24" s="188" t="s">
        <v>173</v>
      </c>
      <c r="D24" s="189"/>
      <c r="E24" s="196" t="s">
        <v>174</v>
      </c>
      <c r="F24" s="190" t="s">
        <v>175</v>
      </c>
      <c r="G24" s="166"/>
    </row>
    <row r="25">
      <c r="A25" s="165"/>
      <c r="B25" s="191" t="s">
        <v>176</v>
      </c>
      <c r="C25" s="188" t="s">
        <v>177</v>
      </c>
      <c r="D25" s="189"/>
      <c r="E25" s="197" t="s">
        <v>178</v>
      </c>
      <c r="F25" s="198" t="s">
        <v>179</v>
      </c>
      <c r="G25" s="199"/>
      <c r="H25" s="200"/>
      <c r="I25" s="201"/>
      <c r="J25" s="166"/>
    </row>
    <row r="26">
      <c r="A26" s="165"/>
      <c r="B26" s="191"/>
      <c r="C26" s="188" t="s">
        <v>180</v>
      </c>
      <c r="D26" s="189"/>
      <c r="E26" s="197">
        <v>1</v>
      </c>
      <c r="F26" s="198" t="s">
        <v>181</v>
      </c>
      <c r="G26" s="199"/>
      <c r="H26" s="200"/>
      <c r="I26" s="201"/>
      <c r="J26" s="166"/>
    </row>
    <row r="27">
      <c r="A27" s="165"/>
      <c r="B27" s="191"/>
      <c r="C27" s="188" t="s">
        <v>182</v>
      </c>
      <c r="D27" s="189"/>
      <c r="E27" s="197" t="s">
        <v>183</v>
      </c>
      <c r="F27" s="198" t="s">
        <v>184</v>
      </c>
      <c r="G27" s="199"/>
      <c r="H27" s="200"/>
      <c r="I27" s="201"/>
      <c r="J27" s="166"/>
    </row>
    <row r="28">
      <c r="A28" s="165"/>
      <c r="B28" s="202" t="s">
        <v>185</v>
      </c>
      <c r="C28" s="203"/>
      <c r="D28" s="203"/>
      <c r="E28" s="203"/>
      <c r="F28" s="203"/>
      <c r="G28" s="199"/>
      <c r="H28" s="204"/>
      <c r="I28" s="205"/>
      <c r="J28" s="166"/>
    </row>
    <row customHeight="true" ht="32" r="29">
      <c r="A29" s="165"/>
      <c r="B29" s="206" t="s">
        <v>186</v>
      </c>
      <c r="C29" s="206" t="s">
        <v>187</v>
      </c>
      <c r="D29" s="207" t="s">
        <v>188</v>
      </c>
      <c r="E29" s="207" t="s">
        <v>189</v>
      </c>
      <c r="F29" s="207" t="s">
        <v>190</v>
      </c>
      <c r="G29" s="166"/>
    </row>
    <row r="30">
      <c r="A30" s="165"/>
      <c r="B30" s="208" t="s">
        <v>191</v>
      </c>
      <c r="C30" s="209">
        <v>1</v>
      </c>
      <c r="D30" s="210" t="s">
        <v>192</v>
      </c>
      <c r="E30" s="211" t="s">
        <v>193</v>
      </c>
      <c r="F30" s="212"/>
      <c r="G30" s="166"/>
      <c r="H30" s="166"/>
      <c r="I30" s="166"/>
    </row>
    <row r="31">
      <c r="A31" s="165"/>
      <c r="B31" s="208"/>
      <c r="C31" s="213">
        <v>2</v>
      </c>
      <c r="D31" s="214" t="s">
        <v>194</v>
      </c>
      <c r="E31" s="211" t="s">
        <v>193</v>
      </c>
      <c r="F31" s="215"/>
    </row>
    <row r="32">
      <c r="A32" s="165"/>
      <c r="B32" s="208"/>
      <c r="C32" s="213">
        <v>3</v>
      </c>
      <c r="D32" s="214" t="s">
        <v>195</v>
      </c>
      <c r="E32" s="211" t="s">
        <v>193</v>
      </c>
      <c r="F32" s="215"/>
      <c r="G32" s="179" t="s">
        <v>196</v>
      </c>
    </row>
    <row r="33">
      <c r="A33" s="165"/>
      <c r="B33" s="208"/>
      <c r="C33" s="213">
        <v>4</v>
      </c>
      <c r="D33" s="214" t="s">
        <v>197</v>
      </c>
      <c r="E33" s="211" t="s">
        <v>193</v>
      </c>
      <c r="F33" s="216" t="s">
        <v>198</v>
      </c>
      <c r="G33" s="179" t="s">
        <v>196</v>
      </c>
    </row>
    <row r="34">
      <c r="A34" s="165"/>
      <c r="B34" s="208" t="s">
        <v>199</v>
      </c>
      <c r="C34" s="213">
        <v>5</v>
      </c>
      <c r="D34" s="217" t="s">
        <v>200</v>
      </c>
      <c r="E34" s="218" t="s">
        <v>201</v>
      </c>
      <c r="F34" s="219" t="s">
        <v>202</v>
      </c>
    </row>
    <row r="35">
      <c r="A35" s="165"/>
      <c r="B35" s="208"/>
      <c r="C35" s="213">
        <v>6</v>
      </c>
      <c r="D35" s="220" t="s">
        <v>203</v>
      </c>
      <c r="E35" s="218" t="s">
        <v>201</v>
      </c>
      <c r="F35" s="221" t="s">
        <v>204</v>
      </c>
    </row>
    <row r="36">
      <c r="A36" s="165"/>
      <c r="B36" s="222" t="s">
        <v>205</v>
      </c>
      <c r="C36" s="213">
        <v>7</v>
      </c>
      <c r="D36" s="220" t="s">
        <v>206</v>
      </c>
      <c r="E36" s="218" t="s">
        <v>207</v>
      </c>
      <c r="F36" s="223" t="s">
        <v>208</v>
      </c>
      <c r="G36" s="224" t="s">
        <v>209</v>
      </c>
      <c r="H36" s="224" t="s">
        <v>210</v>
      </c>
    </row>
    <row r="37">
      <c r="A37" s="165"/>
      <c r="B37" s="208" t="s">
        <v>211</v>
      </c>
      <c r="C37" s="225">
        <v>8</v>
      </c>
      <c r="D37" s="226" t="s">
        <v>212</v>
      </c>
      <c r="E37" s="218" t="s">
        <v>201</v>
      </c>
      <c r="F37" s="227" t="s">
        <v>213</v>
      </c>
    </row>
    <row r="38">
      <c r="A38" s="165"/>
      <c r="B38" s="208"/>
      <c r="C38" s="225">
        <v>9</v>
      </c>
      <c r="D38" s="228" t="s">
        <v>214</v>
      </c>
      <c r="E38" s="229" t="s">
        <v>215</v>
      </c>
      <c r="F38" s="227"/>
    </row>
    <row r="39">
      <c r="A39" s="165"/>
      <c r="B39" s="208" t="s">
        <v>216</v>
      </c>
      <c r="C39" s="213">
        <v>11</v>
      </c>
      <c r="D39" s="226" t="s">
        <v>217</v>
      </c>
      <c r="E39" s="229" t="s">
        <v>218</v>
      </c>
      <c r="F39" s="227"/>
    </row>
    <row r="40">
      <c r="A40" s="165"/>
      <c r="C40" s="166"/>
    </row>
    <row r="41">
      <c r="A41" s="165"/>
    </row>
    <row r="42">
      <c r="A42" s="165"/>
    </row>
    <row r="43">
      <c r="A43" s="165"/>
    </row>
    <row r="44">
      <c r="A44" s="165"/>
    </row>
    <row r="45">
      <c r="A45" s="165"/>
    </row>
    <row r="46">
      <c r="A46" s="165"/>
    </row>
    <row r="47">
      <c r="A47" s="165"/>
    </row>
    <row r="48">
      <c r="A48" s="165"/>
    </row>
    <row r="49">
      <c r="A49" s="165"/>
    </row>
    <row r="50">
      <c r="A50" s="165"/>
    </row>
    <row r="51">
      <c r="A51" s="165"/>
    </row>
    <row r="52">
      <c r="A52" s="165"/>
    </row>
    <row r="53">
      <c r="A53" s="165"/>
    </row>
    <row r="54">
      <c r="A54" s="165"/>
    </row>
    <row r="55">
      <c r="A55" s="165"/>
    </row>
    <row r="56">
      <c r="A56" s="165"/>
    </row>
    <row r="57">
      <c r="A57" s="165"/>
    </row>
    <row r="58">
      <c r="A58" s="165"/>
    </row>
    <row r="59">
      <c r="A59" s="165"/>
    </row>
    <row r="60">
      <c r="A60" s="165"/>
    </row>
    <row r="61">
      <c r="A61" s="165"/>
    </row>
    <row r="62">
      <c r="A62" s="165"/>
    </row>
    <row r="63">
      <c r="A63" s="165"/>
    </row>
    <row r="64">
      <c r="A64" s="165"/>
    </row>
    <row r="65">
      <c r="A65" s="165"/>
    </row>
    <row r="66">
      <c r="A66" s="165"/>
    </row>
    <row r="67">
      <c r="A67" s="165"/>
    </row>
    <row r="68">
      <c r="A68" s="165"/>
    </row>
    <row r="69">
      <c r="A69" s="165"/>
    </row>
    <row r="70">
      <c r="A70" s="165"/>
    </row>
    <row r="71">
      <c r="A71" s="165"/>
    </row>
    <row r="72">
      <c r="A72" s="165"/>
    </row>
    <row r="73">
      <c r="A73" s="165"/>
    </row>
    <row r="74">
      <c r="A74" s="165"/>
    </row>
    <row r="75">
      <c r="A75" s="165"/>
    </row>
    <row r="76">
      <c r="A76" s="165"/>
    </row>
    <row r="77">
      <c r="A77" s="165"/>
    </row>
    <row r="78">
      <c r="A78" s="165"/>
    </row>
    <row r="79">
      <c r="A79" s="165"/>
    </row>
    <row r="80">
      <c r="A80" s="165"/>
    </row>
    <row r="81">
      <c r="A81" s="165"/>
    </row>
    <row r="82">
      <c r="A82" s="165"/>
    </row>
    <row r="83">
      <c r="A83" s="165"/>
    </row>
    <row r="84">
      <c r="A84" s="165"/>
    </row>
    <row r="85">
      <c r="A85" s="165"/>
    </row>
    <row r="86">
      <c r="A86" s="165"/>
    </row>
    <row r="87">
      <c r="A87" s="165"/>
    </row>
    <row r="88">
      <c r="A88" s="165"/>
    </row>
    <row r="89">
      <c r="A89" s="165"/>
    </row>
    <row r="90">
      <c r="A90" s="165"/>
    </row>
    <row r="91">
      <c r="A91" s="165"/>
    </row>
    <row r="92">
      <c r="A92" s="165"/>
    </row>
    <row r="93">
      <c r="A93" s="165"/>
    </row>
    <row r="94">
      <c r="A94" s="165"/>
    </row>
    <row r="95">
      <c r="A95" s="165"/>
    </row>
    <row r="96">
      <c r="A96" s="165"/>
    </row>
    <row r="97">
      <c r="A97" s="165"/>
    </row>
    <row r="98">
      <c r="A98" s="165"/>
    </row>
    <row r="99">
      <c r="A99" s="165"/>
    </row>
    <row r="100">
      <c r="A100" s="165"/>
    </row>
    <row r="101">
      <c r="A101" s="165"/>
    </row>
    <row r="102">
      <c r="A102" s="165"/>
    </row>
    <row r="103">
      <c r="A103" s="165"/>
    </row>
    <row r="104">
      <c r="A104" s="165"/>
    </row>
    <row r="105">
      <c r="A105" s="165"/>
    </row>
    <row r="106">
      <c r="A106" s="165"/>
    </row>
    <row r="107">
      <c r="A107" s="165"/>
    </row>
    <row r="108">
      <c r="A108" s="165"/>
    </row>
    <row r="109">
      <c r="A109" s="165"/>
    </row>
    <row r="110">
      <c r="A110" s="165"/>
    </row>
    <row r="111">
      <c r="A111" s="165"/>
    </row>
    <row r="112">
      <c r="A112" s="165"/>
    </row>
    <row r="113">
      <c r="A113" s="165"/>
    </row>
    <row r="114">
      <c r="A114" s="165"/>
    </row>
    <row r="115">
      <c r="A115" s="165"/>
    </row>
    <row r="116">
      <c r="A116" s="165"/>
    </row>
    <row r="117">
      <c r="A117" s="165"/>
    </row>
    <row r="118">
      <c r="A118" s="165"/>
    </row>
    <row r="119">
      <c r="A119" s="165"/>
    </row>
    <row r="120">
      <c r="A120" s="165"/>
    </row>
    <row r="121">
      <c r="A121" s="165"/>
    </row>
    <row r="122">
      <c r="A122" s="165"/>
    </row>
    <row r="123">
      <c r="A123" s="165"/>
    </row>
    <row r="124">
      <c r="A124" s="165"/>
    </row>
    <row r="125">
      <c r="A125" s="165"/>
    </row>
    <row r="126">
      <c r="A126" s="165"/>
    </row>
    <row r="127">
      <c r="A127" s="165"/>
    </row>
    <row r="128">
      <c r="A128" s="165"/>
    </row>
    <row r="129">
      <c r="A129" s="165"/>
    </row>
    <row r="130">
      <c r="A130" s="165"/>
    </row>
    <row r="131">
      <c r="A131" s="165"/>
    </row>
    <row r="132">
      <c r="A132" s="165"/>
    </row>
    <row r="133">
      <c r="A133" s="165"/>
    </row>
    <row r="134">
      <c r="A134" s="165"/>
    </row>
    <row r="135">
      <c r="A135" s="165"/>
    </row>
    <row r="136">
      <c r="A136" s="165"/>
    </row>
    <row r="137">
      <c r="A137" s="165"/>
    </row>
    <row r="138">
      <c r="A138" s="165"/>
    </row>
    <row r="139">
      <c r="A139" s="165"/>
    </row>
    <row r="140">
      <c r="A140" s="165"/>
    </row>
    <row r="141">
      <c r="A141" s="165"/>
    </row>
    <row r="142">
      <c r="A142" s="165"/>
    </row>
    <row r="143">
      <c r="A143" s="165"/>
    </row>
    <row r="144">
      <c r="A144" s="165"/>
    </row>
    <row r="145">
      <c r="A145" s="165"/>
    </row>
    <row r="146">
      <c r="A146" s="165"/>
    </row>
    <row r="147">
      <c r="A147" s="165"/>
    </row>
    <row r="148">
      <c r="A148" s="165"/>
    </row>
    <row r="149">
      <c r="A149" s="165"/>
    </row>
    <row r="150">
      <c r="A150" s="165"/>
    </row>
    <row r="151">
      <c r="A151" s="165"/>
    </row>
    <row r="152">
      <c r="A152" s="165"/>
    </row>
    <row r="153">
      <c r="A153" s="165"/>
    </row>
    <row r="154">
      <c r="A154" s="165"/>
    </row>
    <row r="155">
      <c r="A155" s="165"/>
    </row>
    <row r="156">
      <c r="A156" s="165"/>
    </row>
    <row r="157">
      <c r="A157" s="165"/>
    </row>
    <row r="158">
      <c r="A158" s="165"/>
    </row>
    <row r="159">
      <c r="A159" s="165"/>
    </row>
    <row r="160">
      <c r="A160" s="165"/>
    </row>
    <row r="161">
      <c r="A161" s="165"/>
    </row>
    <row r="162">
      <c r="A162" s="165"/>
    </row>
    <row r="163">
      <c r="A163" s="165"/>
    </row>
    <row r="164">
      <c r="A164" s="165"/>
    </row>
    <row r="165">
      <c r="A165" s="165"/>
    </row>
    <row r="166">
      <c r="A166" s="165"/>
    </row>
    <row r="167">
      <c r="A167" s="165"/>
    </row>
    <row r="168">
      <c r="A168" s="165"/>
    </row>
    <row r="169">
      <c r="A169" s="165"/>
    </row>
    <row r="170">
      <c r="A170" s="165"/>
    </row>
    <row r="171">
      <c r="A171" s="165"/>
    </row>
    <row r="172">
      <c r="A172" s="165"/>
    </row>
    <row r="173">
      <c r="A173" s="165"/>
    </row>
    <row r="174">
      <c r="A174" s="165"/>
    </row>
    <row r="175">
      <c r="A175" s="165"/>
    </row>
    <row r="176">
      <c r="A176" s="165"/>
    </row>
    <row r="177">
      <c r="A177" s="165"/>
    </row>
    <row r="178">
      <c r="A178" s="165"/>
    </row>
    <row r="179">
      <c r="A179" s="165"/>
    </row>
    <row r="180">
      <c r="A180" s="165"/>
    </row>
    <row r="181">
      <c r="A181" s="165"/>
    </row>
    <row r="182">
      <c r="A182" s="165"/>
    </row>
    <row r="183">
      <c r="A183" s="165"/>
    </row>
    <row r="184">
      <c r="A184" s="165"/>
    </row>
    <row r="185">
      <c r="A185" s="165"/>
    </row>
    <row r="186">
      <c r="A186" s="165"/>
    </row>
    <row r="187">
      <c r="A187" s="165"/>
    </row>
    <row r="188">
      <c r="A188" s="165"/>
    </row>
  </sheetData>
  <mergeCells>
    <mergeCell ref="B34:B35"/>
    <mergeCell ref="C14:D14"/>
    <mergeCell ref="F19:F20"/>
    <mergeCell ref="E18:F18"/>
    <mergeCell ref="C15:D15"/>
    <mergeCell ref="B19:B23"/>
    <mergeCell ref="C18:D18"/>
    <mergeCell ref="C19:D19"/>
    <mergeCell ref="C20:D20"/>
    <mergeCell ref="C21:D21"/>
    <mergeCell ref="C22:D22"/>
    <mergeCell ref="C23:D23"/>
    <mergeCell ref="C24:D24"/>
    <mergeCell ref="B17:D17"/>
    <mergeCell ref="B30:B33"/>
    <mergeCell ref="B37:B38"/>
    <mergeCell ref="B28:F28"/>
    <mergeCell ref="C27:D27"/>
    <mergeCell ref="C26:D26"/>
    <mergeCell ref="C25:D25"/>
    <mergeCell ref="B25:B27"/>
    <mergeCell ref="C12:D12"/>
    <mergeCell ref="C13:D13"/>
    <mergeCell ref="C11:D11"/>
    <mergeCell ref="C10:D10"/>
    <mergeCell ref="C9:D9"/>
    <mergeCell ref="C8:D8"/>
    <mergeCell ref="B2:D2"/>
    <mergeCell ref="B6:D6"/>
    <mergeCell ref="C7:D7"/>
    <mergeCell ref="C5:D5"/>
    <mergeCell ref="C4:D4"/>
    <mergeCell ref="C3:D3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0"/>
    <col collapsed="false" customWidth="true" hidden="false" max="3" min="3" style="0" width="16"/>
    <col collapsed="false" customWidth="true" hidden="false" max="5" min="5" style="0" width="20"/>
    <col collapsed="false" customWidth="true" hidden="false" max="7" min="7" style="0" width="15"/>
    <col collapsed="false" customWidth="true" hidden="false" max="10" min="10" style="0" width="7"/>
    <col collapsed="false" customWidth="true" hidden="false" max="12" min="12" style="0" width="12"/>
    <col collapsed="false" customWidth="true" hidden="false" max="13" min="13" style="0" width="51"/>
    <col collapsed="false" customWidth="true" hidden="false" max="2" min="2" style="0" width="24"/>
    <col collapsed="false" customWidth="true" hidden="false" max="4" min="4" style="0" width="20"/>
    <col collapsed="false" customWidth="true" hidden="false" max="6" min="6" style="0" width="33"/>
    <col collapsed="false" customWidth="true" hidden="false" max="8" min="8" style="0" width="22"/>
    <col collapsed="false" customWidth="true" hidden="false" max="9" min="9" style="0" width="23"/>
    <col collapsed="false" customWidth="true" hidden="false" max="11" min="11" style="0" width="55"/>
  </cols>
  <sheetData>
    <row r="1">
      <c r="B1" s="230" t="s">
        <v>219</v>
      </c>
      <c r="C1" s="231" t="s">
        <v>220</v>
      </c>
      <c r="D1" s="232"/>
      <c r="E1" s="233"/>
      <c r="F1" s="234"/>
      <c r="G1" s="235"/>
      <c r="H1" s="236"/>
      <c r="I1" s="233"/>
      <c r="J1" s="233"/>
      <c r="K1" s="234"/>
      <c r="L1" s="233"/>
      <c r="M1" s="233"/>
      <c r="N1" s="233"/>
      <c r="O1" s="233"/>
    </row>
    <row customHeight="true" ht="19" r="2">
      <c r="A2" s="233"/>
      <c r="B2" s="237" t="s">
        <v>221</v>
      </c>
      <c r="C2" s="238"/>
      <c r="D2" s="239"/>
      <c r="E2" s="240"/>
      <c r="F2" s="240"/>
      <c r="G2" s="240"/>
      <c r="H2" s="240"/>
      <c r="I2" s="240"/>
      <c r="J2" s="241"/>
      <c r="K2" s="241"/>
      <c r="L2" s="241"/>
      <c r="M2" s="241"/>
      <c r="N2" s="241"/>
      <c r="O2" s="241"/>
    </row>
    <row customHeight="true" ht="19" r="3">
      <c r="A3" s="242"/>
      <c r="B3" s="243" t="s">
        <v>222</v>
      </c>
      <c r="C3" s="244" t="s">
        <v>223</v>
      </c>
      <c r="D3" s="245"/>
      <c r="E3" s="246"/>
      <c r="F3" s="247"/>
      <c r="G3" s="246"/>
      <c r="H3" s="246"/>
      <c r="I3" s="246"/>
      <c r="J3" s="248"/>
      <c r="K3" s="249"/>
      <c r="L3" s="248"/>
      <c r="M3" s="250"/>
      <c r="N3" s="251"/>
      <c r="O3" s="252"/>
    </row>
    <row customHeight="true" ht="19" r="4">
      <c r="A4" s="253" t="s">
        <v>224</v>
      </c>
      <c r="B4" s="254">
        <f>'A.OKR&amp;KPI 10-12.2024'!F22</f>
      </c>
      <c r="C4" s="255">
        <f>'A.OKR&amp;KPI 10-12.2024'!F23</f>
      </c>
      <c r="D4" s="256"/>
      <c r="E4" s="257"/>
      <c r="F4" s="258"/>
      <c r="G4" s="259"/>
      <c r="H4" s="259"/>
      <c r="I4" s="259"/>
      <c r="J4" s="260"/>
      <c r="K4" s="261"/>
      <c r="L4" s="250"/>
      <c r="M4" s="250"/>
      <c r="N4" s="262"/>
      <c r="O4" s="252"/>
    </row>
    <row customHeight="true" ht="28" r="5">
      <c r="A5" s="253" t="s">
        <v>225</v>
      </c>
      <c r="B5" s="254">
        <f>B4/60</f>
      </c>
      <c r="C5" s="263" t="s">
        <v>226</v>
      </c>
      <c r="D5" s="264">
        <f>C4*85%</f>
      </c>
      <c r="E5" s="257"/>
      <c r="F5" s="258"/>
      <c r="G5" s="235"/>
      <c r="H5" s="236"/>
      <c r="I5" s="236"/>
      <c r="J5" s="260"/>
      <c r="K5" s="261"/>
      <c r="L5" s="252"/>
      <c r="M5" s="265"/>
      <c r="N5" s="262"/>
      <c r="O5" s="252"/>
    </row>
    <row customHeight="true" ht="19" r="6">
      <c r="A6" s="253"/>
      <c r="B6" s="266"/>
      <c r="C6" s="267" t="s">
        <v>227</v>
      </c>
      <c r="D6" s="268">
        <f>C4-D5</f>
      </c>
      <c r="E6" s="257"/>
      <c r="F6" s="258"/>
      <c r="G6" s="235"/>
      <c r="H6" s="236"/>
      <c r="I6" s="236"/>
      <c r="J6" s="260"/>
      <c r="K6" s="261"/>
      <c r="L6" s="252"/>
      <c r="M6" s="265"/>
      <c r="N6" s="262"/>
      <c r="O6" s="252"/>
    </row>
    <row customHeight="true" ht="19" r="7">
      <c r="A7" s="253"/>
      <c r="B7" s="237" t="s">
        <v>228</v>
      </c>
      <c r="C7" s="237"/>
      <c r="D7" s="237"/>
      <c r="E7" s="269"/>
      <c r="F7" s="258"/>
      <c r="G7" s="270"/>
      <c r="H7" s="236"/>
      <c r="I7" s="233"/>
      <c r="J7" s="234"/>
      <c r="K7" s="271"/>
      <c r="L7" s="233"/>
      <c r="M7" s="233"/>
      <c r="N7" s="233"/>
      <c r="O7" s="233"/>
    </row>
    <row r="8">
      <c r="B8" s="233"/>
      <c r="C8" s="234"/>
      <c r="D8" s="232"/>
      <c r="E8" s="233"/>
      <c r="F8" s="234"/>
      <c r="G8" s="272"/>
      <c r="H8" s="236"/>
      <c r="I8" s="233"/>
      <c r="K8" s="234"/>
    </row>
    <row r="9">
      <c r="C9" s="234"/>
      <c r="D9" s="232"/>
      <c r="F9" s="234"/>
      <c r="G9" s="272"/>
      <c r="H9" s="236"/>
      <c r="I9" s="233"/>
      <c r="K9" s="234"/>
    </row>
    <row r="10">
      <c r="C10" s="234"/>
      <c r="D10" s="232"/>
      <c r="F10" s="234"/>
      <c r="G10" s="272"/>
      <c r="H10" s="236"/>
      <c r="I10" s="233"/>
      <c r="K10" s="234"/>
    </row>
    <row r="11">
      <c r="C11" s="234"/>
      <c r="D11" s="232"/>
      <c r="F11" s="234"/>
      <c r="G11" s="272"/>
      <c r="H11" s="236"/>
      <c r="I11" s="233"/>
      <c r="K11" s="234"/>
    </row>
    <row r="12">
      <c r="C12" s="234"/>
      <c r="D12" s="232"/>
      <c r="F12" s="234"/>
      <c r="G12" s="272"/>
      <c r="H12" s="236"/>
      <c r="I12" s="233"/>
      <c r="K12" s="234"/>
    </row>
    <row r="13">
      <c r="C13" s="234"/>
      <c r="D13" s="232"/>
      <c r="F13" s="234"/>
      <c r="G13" s="272"/>
      <c r="H13" s="236"/>
      <c r="I13" s="233"/>
      <c r="K13" s="234"/>
    </row>
    <row r="14">
      <c r="C14" s="234"/>
      <c r="D14" s="232"/>
      <c r="F14" s="234"/>
      <c r="G14" s="272"/>
      <c r="H14" s="236"/>
      <c r="I14" s="233"/>
      <c r="K14" s="234"/>
    </row>
    <row r="15">
      <c r="C15" s="234"/>
      <c r="D15" s="232"/>
      <c r="F15" s="234"/>
      <c r="G15" s="272"/>
      <c r="H15" s="236"/>
      <c r="I15" s="233"/>
      <c r="K15" s="234"/>
    </row>
    <row r="16">
      <c r="C16" s="234"/>
      <c r="D16" s="232"/>
      <c r="F16" s="234"/>
      <c r="G16" s="272"/>
      <c r="H16" s="236"/>
      <c r="I16" s="233"/>
      <c r="K16" s="234"/>
    </row>
    <row r="17">
      <c r="C17" s="234"/>
      <c r="D17" s="232"/>
      <c r="F17" s="234"/>
      <c r="G17" s="235"/>
      <c r="H17" s="236"/>
      <c r="I17" s="233"/>
      <c r="K17" s="234"/>
    </row>
    <row r="18">
      <c r="C18" s="234"/>
      <c r="D18" s="232"/>
      <c r="F18" s="234"/>
      <c r="G18" s="235"/>
      <c r="H18" s="236"/>
      <c r="I18" s="233"/>
      <c r="K18" s="234"/>
    </row>
    <row r="19">
      <c r="C19" s="234"/>
      <c r="D19" s="232"/>
      <c r="F19" s="234"/>
      <c r="G19" s="235"/>
      <c r="H19" s="236"/>
      <c r="I19" s="233"/>
      <c r="K19" s="234"/>
    </row>
    <row r="20">
      <c r="C20" s="234"/>
      <c r="D20" s="232"/>
      <c r="F20" s="234"/>
      <c r="G20" s="235"/>
      <c r="H20" s="236"/>
      <c r="I20" s="233"/>
      <c r="K20" s="234"/>
    </row>
    <row r="21">
      <c r="C21" s="234"/>
      <c r="D21" s="232"/>
      <c r="F21" s="234"/>
      <c r="G21" s="235"/>
      <c r="H21" s="236"/>
      <c r="I21" s="233"/>
      <c r="K21" s="234"/>
    </row>
    <row r="22">
      <c r="C22" s="234"/>
      <c r="D22" s="232"/>
      <c r="F22" s="234"/>
      <c r="G22" s="235"/>
      <c r="H22" s="236"/>
      <c r="I22" s="233"/>
      <c r="K22" s="234"/>
    </row>
    <row r="23">
      <c r="C23" s="234"/>
      <c r="D23" s="232"/>
      <c r="F23" s="234"/>
      <c r="G23" s="235"/>
      <c r="H23" s="236"/>
      <c r="I23" s="233"/>
      <c r="K23" s="234"/>
    </row>
    <row r="24">
      <c r="C24" s="234"/>
      <c r="D24" s="232"/>
      <c r="F24" s="234"/>
      <c r="G24" s="235"/>
      <c r="H24" s="236"/>
      <c r="I24" s="233"/>
      <c r="K24" s="234"/>
    </row>
    <row r="25">
      <c r="C25" s="234"/>
      <c r="D25" s="232"/>
      <c r="F25" s="234"/>
      <c r="G25" s="235"/>
      <c r="H25" s="236"/>
      <c r="I25" s="233"/>
      <c r="K25" s="234"/>
    </row>
    <row r="26">
      <c r="C26" s="234"/>
      <c r="D26" s="232"/>
      <c r="F26" s="234"/>
      <c r="G26" s="235"/>
      <c r="H26" s="236"/>
      <c r="I26" s="233"/>
      <c r="K26" s="234"/>
    </row>
    <row r="27">
      <c r="C27" s="234"/>
      <c r="D27" s="232"/>
      <c r="F27" s="234"/>
      <c r="G27" s="235"/>
      <c r="H27" s="236"/>
      <c r="I27" s="233"/>
      <c r="K27" s="234"/>
    </row>
    <row r="28">
      <c r="C28" s="234"/>
      <c r="D28" s="232"/>
      <c r="F28" s="234"/>
      <c r="G28" s="235"/>
      <c r="H28" s="236"/>
      <c r="I28" s="233"/>
      <c r="K28" s="234"/>
    </row>
    <row r="29">
      <c r="C29" s="234"/>
      <c r="D29" s="232"/>
      <c r="F29" s="234"/>
      <c r="G29" s="235"/>
      <c r="H29" s="236"/>
      <c r="I29" s="233"/>
      <c r="K29" s="234"/>
    </row>
    <row r="30">
      <c r="C30" s="234"/>
      <c r="D30" s="232"/>
      <c r="F30" s="234"/>
      <c r="G30" s="235"/>
      <c r="H30" s="236"/>
      <c r="I30" s="233"/>
      <c r="K30" s="234"/>
    </row>
    <row r="31">
      <c r="C31" s="234"/>
      <c r="D31" s="232"/>
      <c r="F31" s="234"/>
      <c r="G31" s="235"/>
      <c r="H31" s="236"/>
      <c r="I31" s="233"/>
      <c r="K31" s="234"/>
    </row>
    <row r="32">
      <c r="C32" s="234"/>
      <c r="D32" s="232"/>
      <c r="F32" s="234"/>
      <c r="G32" s="235"/>
      <c r="H32" s="236"/>
      <c r="I32" s="233"/>
      <c r="K32" s="234"/>
    </row>
    <row r="33">
      <c r="C33" s="234"/>
      <c r="D33" s="232"/>
      <c r="F33" s="234"/>
      <c r="G33" s="235"/>
      <c r="H33" s="236"/>
      <c r="I33" s="233"/>
      <c r="K33" s="234"/>
    </row>
    <row r="34">
      <c r="C34" s="234"/>
      <c r="D34" s="232"/>
      <c r="F34" s="234"/>
      <c r="G34" s="235"/>
      <c r="H34" s="236"/>
      <c r="I34" s="233"/>
      <c r="K34" s="234"/>
    </row>
    <row r="35">
      <c r="C35" s="234"/>
      <c r="D35" s="232"/>
      <c r="F35" s="234"/>
      <c r="G35" s="235"/>
      <c r="H35" s="236"/>
      <c r="I35" s="233"/>
      <c r="K35" s="234"/>
    </row>
    <row r="36">
      <c r="C36" s="234"/>
      <c r="D36" s="232"/>
      <c r="F36" s="234"/>
      <c r="G36" s="235"/>
      <c r="H36" s="236"/>
      <c r="I36" s="233"/>
      <c r="K36" s="234"/>
    </row>
    <row r="37">
      <c r="C37" s="234"/>
      <c r="D37" s="232"/>
      <c r="F37" s="234"/>
      <c r="G37" s="235"/>
      <c r="H37" s="236"/>
      <c r="I37" s="233"/>
      <c r="K37" s="234"/>
    </row>
    <row r="38">
      <c r="C38" s="234"/>
      <c r="D38" s="232"/>
      <c r="F38" s="234"/>
      <c r="G38" s="235"/>
      <c r="H38" s="236"/>
      <c r="I38" s="233"/>
      <c r="K38" s="234"/>
    </row>
    <row r="39">
      <c r="C39" s="234"/>
      <c r="D39" s="232"/>
      <c r="F39" s="234"/>
      <c r="G39" s="235"/>
      <c r="H39" s="236"/>
      <c r="I39" s="233"/>
      <c r="K39" s="234"/>
    </row>
    <row r="40">
      <c r="C40" s="234"/>
      <c r="D40" s="232"/>
      <c r="F40" s="234"/>
      <c r="G40" s="235"/>
      <c r="H40" s="236"/>
      <c r="I40" s="233"/>
      <c r="K40" s="234"/>
    </row>
    <row r="41">
      <c r="C41" s="234"/>
      <c r="D41" s="232"/>
      <c r="F41" s="234"/>
      <c r="G41" s="235"/>
      <c r="H41" s="236"/>
      <c r="I41" s="233"/>
      <c r="K41" s="234"/>
    </row>
    <row r="42">
      <c r="C42" s="234"/>
      <c r="D42" s="232"/>
      <c r="F42" s="234"/>
      <c r="G42" s="235"/>
      <c r="H42" s="236"/>
      <c r="I42" s="233"/>
      <c r="K42" s="234"/>
    </row>
    <row r="43">
      <c r="C43" s="234"/>
      <c r="D43" s="232"/>
      <c r="F43" s="234"/>
      <c r="G43" s="235"/>
      <c r="H43" s="236"/>
      <c r="I43" s="233"/>
      <c r="K43" s="234"/>
    </row>
    <row r="44">
      <c r="C44" s="234"/>
      <c r="D44" s="232"/>
      <c r="F44" s="234"/>
      <c r="G44" s="235"/>
      <c r="H44" s="236"/>
      <c r="I44" s="233"/>
      <c r="K44" s="234"/>
    </row>
    <row r="45">
      <c r="C45" s="234"/>
      <c r="D45" s="232"/>
      <c r="F45" s="234"/>
      <c r="G45" s="235"/>
      <c r="H45" s="236"/>
      <c r="I45" s="233"/>
      <c r="K45" s="234"/>
    </row>
    <row r="46">
      <c r="C46" s="234"/>
      <c r="D46" s="232"/>
      <c r="F46" s="234"/>
      <c r="G46" s="235"/>
      <c r="H46" s="236"/>
      <c r="I46" s="233"/>
      <c r="K46" s="234"/>
    </row>
    <row r="47">
      <c r="C47" s="234"/>
      <c r="D47" s="232"/>
      <c r="F47" s="234"/>
      <c r="G47" s="235"/>
      <c r="H47" s="236"/>
      <c r="I47" s="233"/>
      <c r="K47" s="234"/>
    </row>
    <row r="48">
      <c r="C48" s="234"/>
      <c r="D48" s="232"/>
      <c r="F48" s="234"/>
      <c r="G48" s="235"/>
      <c r="H48" s="236"/>
      <c r="I48" s="233"/>
      <c r="K48" s="234"/>
    </row>
    <row r="49">
      <c r="C49" s="234"/>
      <c r="D49" s="232"/>
      <c r="F49" s="234"/>
      <c r="G49" s="235"/>
      <c r="H49" s="236"/>
      <c r="I49" s="233"/>
      <c r="K49" s="234"/>
    </row>
    <row r="50">
      <c r="C50" s="234"/>
      <c r="D50" s="232"/>
      <c r="F50" s="234"/>
      <c r="G50" s="235"/>
      <c r="H50" s="236"/>
      <c r="I50" s="233"/>
      <c r="K50" s="234"/>
    </row>
    <row r="51">
      <c r="C51" s="234"/>
      <c r="D51" s="232"/>
      <c r="F51" s="234"/>
      <c r="G51" s="235"/>
      <c r="H51" s="236"/>
      <c r="I51" s="233"/>
      <c r="K51" s="234"/>
    </row>
    <row r="52">
      <c r="C52" s="234"/>
      <c r="D52" s="232"/>
      <c r="F52" s="234"/>
      <c r="G52" s="235"/>
      <c r="H52" s="236"/>
      <c r="I52" s="233"/>
      <c r="K52" s="234"/>
    </row>
    <row r="53">
      <c r="C53" s="234"/>
      <c r="D53" s="232"/>
      <c r="F53" s="234"/>
      <c r="G53" s="235"/>
      <c r="H53" s="236"/>
      <c r="I53" s="233"/>
      <c r="K53" s="234"/>
    </row>
    <row r="54">
      <c r="C54" s="234"/>
      <c r="D54" s="232"/>
      <c r="F54" s="234"/>
      <c r="G54" s="235"/>
      <c r="H54" s="236"/>
      <c r="I54" s="233"/>
      <c r="K54" s="234"/>
    </row>
    <row r="55">
      <c r="C55" s="234"/>
      <c r="D55" s="232"/>
      <c r="F55" s="234"/>
      <c r="G55" s="235"/>
      <c r="H55" s="236"/>
      <c r="I55" s="233"/>
      <c r="K55" s="234"/>
    </row>
    <row r="56">
      <c r="C56" s="234"/>
      <c r="D56" s="232"/>
      <c r="F56" s="234"/>
      <c r="G56" s="235"/>
      <c r="H56" s="236"/>
      <c r="I56" s="233"/>
      <c r="K56" s="234"/>
    </row>
    <row r="57">
      <c r="C57" s="234"/>
      <c r="D57" s="232"/>
      <c r="F57" s="234"/>
      <c r="G57" s="235"/>
      <c r="H57" s="236"/>
      <c r="I57" s="233"/>
      <c r="K57" s="234"/>
    </row>
    <row r="58">
      <c r="C58" s="234"/>
      <c r="D58" s="232"/>
      <c r="F58" s="234"/>
      <c r="G58" s="235"/>
      <c r="H58" s="236"/>
      <c r="I58" s="233"/>
      <c r="K58" s="234"/>
    </row>
    <row r="59">
      <c r="C59" s="234"/>
      <c r="D59" s="232"/>
      <c r="F59" s="234"/>
      <c r="G59" s="235"/>
      <c r="H59" s="236"/>
      <c r="I59" s="233"/>
      <c r="K59" s="234"/>
    </row>
    <row r="60">
      <c r="C60" s="234"/>
      <c r="D60" s="232"/>
      <c r="F60" s="234"/>
      <c r="G60" s="235"/>
      <c r="H60" s="236"/>
      <c r="I60" s="233"/>
      <c r="K60" s="234"/>
    </row>
    <row r="61">
      <c r="C61" s="234"/>
      <c r="D61" s="232"/>
      <c r="F61" s="234"/>
      <c r="G61" s="235"/>
      <c r="H61" s="236"/>
      <c r="I61" s="233"/>
      <c r="K61" s="234"/>
    </row>
    <row r="62">
      <c r="C62" s="234"/>
      <c r="D62" s="232"/>
      <c r="F62" s="234"/>
      <c r="G62" s="235"/>
      <c r="H62" s="236"/>
      <c r="I62" s="233"/>
      <c r="K62" s="234"/>
    </row>
    <row r="63">
      <c r="C63" s="234"/>
      <c r="D63" s="232"/>
      <c r="F63" s="234"/>
      <c r="G63" s="235"/>
      <c r="H63" s="236"/>
      <c r="I63" s="233"/>
      <c r="K63" s="234"/>
    </row>
    <row r="64">
      <c r="C64" s="234"/>
      <c r="D64" s="232"/>
      <c r="F64" s="234"/>
      <c r="G64" s="235"/>
      <c r="H64" s="236"/>
      <c r="I64" s="233"/>
      <c r="K64" s="234"/>
    </row>
    <row r="65">
      <c r="C65" s="234"/>
      <c r="D65" s="232"/>
      <c r="F65" s="234"/>
      <c r="G65" s="235"/>
      <c r="H65" s="236"/>
      <c r="I65" s="233"/>
      <c r="K65" s="234"/>
    </row>
    <row r="66">
      <c r="C66" s="234"/>
      <c r="D66" s="232"/>
      <c r="F66" s="234"/>
      <c r="G66" s="235"/>
      <c r="H66" s="236"/>
      <c r="I66" s="233"/>
      <c r="K66" s="234"/>
    </row>
    <row r="67">
      <c r="C67" s="234"/>
      <c r="D67" s="232"/>
      <c r="F67" s="234"/>
      <c r="G67" s="235"/>
      <c r="H67" s="236"/>
      <c r="I67" s="233"/>
      <c r="K67" s="234"/>
    </row>
    <row r="68">
      <c r="C68" s="234"/>
      <c r="D68" s="232"/>
      <c r="F68" s="234"/>
      <c r="G68" s="235"/>
      <c r="H68" s="236"/>
      <c r="I68" s="233"/>
      <c r="K68" s="234"/>
    </row>
    <row r="69">
      <c r="C69" s="234"/>
      <c r="D69" s="232"/>
      <c r="F69" s="234"/>
      <c r="G69" s="235"/>
      <c r="H69" s="236"/>
      <c r="I69" s="233"/>
      <c r="K69" s="234"/>
    </row>
    <row r="70">
      <c r="C70" s="234"/>
      <c r="D70" s="232"/>
      <c r="F70" s="234"/>
      <c r="G70" s="235"/>
      <c r="H70" s="236"/>
      <c r="I70" s="233"/>
      <c r="K70" s="234"/>
    </row>
    <row r="71">
      <c r="C71" s="234"/>
      <c r="D71" s="232"/>
      <c r="F71" s="234"/>
      <c r="G71" s="235"/>
      <c r="H71" s="236"/>
      <c r="I71" s="233"/>
      <c r="K71" s="234"/>
    </row>
    <row r="72">
      <c r="C72" s="234"/>
      <c r="D72" s="232"/>
      <c r="F72" s="234"/>
      <c r="G72" s="235"/>
      <c r="H72" s="236"/>
      <c r="I72" s="233"/>
      <c r="K72" s="234"/>
    </row>
    <row r="73">
      <c r="C73" s="234"/>
      <c r="D73" s="232"/>
      <c r="F73" s="234"/>
      <c r="G73" s="235"/>
      <c r="H73" s="236"/>
      <c r="I73" s="233"/>
      <c r="K73" s="234"/>
    </row>
    <row r="74">
      <c r="C74" s="234"/>
      <c r="D74" s="232"/>
      <c r="F74" s="234"/>
      <c r="G74" s="235"/>
      <c r="H74" s="236"/>
      <c r="I74" s="233"/>
      <c r="K74" s="234"/>
    </row>
    <row r="75">
      <c r="C75" s="234"/>
      <c r="D75" s="232"/>
      <c r="F75" s="234"/>
      <c r="G75" s="235"/>
      <c r="H75" s="236"/>
      <c r="I75" s="233"/>
      <c r="K75" s="234"/>
    </row>
    <row r="76">
      <c r="C76" s="234"/>
      <c r="D76" s="232"/>
      <c r="F76" s="234"/>
      <c r="G76" s="235"/>
      <c r="H76" s="236"/>
      <c r="I76" s="233"/>
      <c r="K76" s="234"/>
    </row>
    <row r="77">
      <c r="C77" s="234"/>
      <c r="D77" s="232"/>
      <c r="F77" s="234"/>
      <c r="G77" s="235"/>
      <c r="H77" s="236"/>
      <c r="I77" s="233"/>
      <c r="K77" s="234"/>
    </row>
    <row r="78">
      <c r="C78" s="234"/>
      <c r="D78" s="232"/>
      <c r="F78" s="234"/>
      <c r="G78" s="235"/>
      <c r="H78" s="236"/>
      <c r="I78" s="233"/>
      <c r="K78" s="234"/>
    </row>
    <row r="79">
      <c r="C79" s="234"/>
      <c r="D79" s="232"/>
      <c r="F79" s="234"/>
      <c r="G79" s="235"/>
      <c r="H79" s="236"/>
      <c r="I79" s="233"/>
      <c r="K79" s="234"/>
    </row>
    <row r="80">
      <c r="C80" s="234"/>
      <c r="D80" s="232"/>
      <c r="F80" s="234"/>
      <c r="G80" s="235"/>
      <c r="H80" s="236"/>
      <c r="I80" s="233"/>
      <c r="K80" s="234"/>
    </row>
    <row r="81">
      <c r="C81" s="234"/>
      <c r="D81" s="232"/>
      <c r="F81" s="234"/>
      <c r="G81" s="235"/>
      <c r="H81" s="236"/>
      <c r="I81" s="233"/>
      <c r="K81" s="234"/>
    </row>
    <row r="82">
      <c r="C82" s="234"/>
      <c r="D82" s="232"/>
      <c r="F82" s="234"/>
      <c r="G82" s="235"/>
      <c r="H82" s="236"/>
      <c r="I82" s="233"/>
      <c r="K82" s="234"/>
    </row>
    <row r="83">
      <c r="C83" s="234"/>
      <c r="D83" s="232"/>
      <c r="F83" s="234"/>
      <c r="G83" s="235"/>
      <c r="H83" s="236"/>
      <c r="I83" s="233"/>
      <c r="K83" s="234"/>
    </row>
    <row r="84">
      <c r="C84" s="234"/>
      <c r="D84" s="232"/>
      <c r="F84" s="234"/>
      <c r="G84" s="235"/>
      <c r="H84" s="236"/>
      <c r="I84" s="233"/>
      <c r="K84" s="234"/>
    </row>
    <row r="85">
      <c r="C85" s="234"/>
      <c r="D85" s="232"/>
      <c r="F85" s="234"/>
      <c r="G85" s="235"/>
      <c r="H85" s="236"/>
      <c r="I85" s="233"/>
      <c r="K85" s="234"/>
    </row>
    <row r="86">
      <c r="C86" s="234"/>
      <c r="D86" s="232"/>
      <c r="F86" s="234"/>
      <c r="G86" s="235"/>
      <c r="H86" s="236"/>
      <c r="I86" s="233"/>
      <c r="K86" s="234"/>
    </row>
    <row r="87">
      <c r="C87" s="234"/>
      <c r="D87" s="232"/>
      <c r="F87" s="234"/>
      <c r="G87" s="235"/>
      <c r="H87" s="236"/>
      <c r="I87" s="233"/>
      <c r="K87" s="234"/>
    </row>
    <row r="88">
      <c r="C88" s="234"/>
      <c r="D88" s="232"/>
      <c r="F88" s="234"/>
      <c r="G88" s="235"/>
      <c r="H88" s="236"/>
      <c r="I88" s="233"/>
      <c r="K88" s="234"/>
    </row>
    <row r="89">
      <c r="C89" s="234"/>
      <c r="D89" s="232"/>
      <c r="F89" s="234"/>
      <c r="G89" s="235"/>
      <c r="H89" s="236"/>
      <c r="I89" s="233"/>
      <c r="K89" s="234"/>
    </row>
    <row r="90">
      <c r="C90" s="234"/>
      <c r="D90" s="232"/>
      <c r="F90" s="234"/>
      <c r="G90" s="235"/>
      <c r="H90" s="236"/>
      <c r="I90" s="233"/>
      <c r="K90" s="234"/>
    </row>
    <row r="91">
      <c r="C91" s="234"/>
      <c r="D91" s="232"/>
      <c r="F91" s="234"/>
      <c r="G91" s="235"/>
      <c r="H91" s="236"/>
      <c r="I91" s="233"/>
      <c r="K91" s="234"/>
    </row>
    <row r="92">
      <c r="C92" s="234"/>
      <c r="D92" s="232"/>
      <c r="F92" s="234"/>
      <c r="G92" s="235"/>
      <c r="H92" s="236"/>
      <c r="I92" s="233"/>
      <c r="K92" s="234"/>
    </row>
    <row r="93">
      <c r="C93" s="234"/>
      <c r="D93" s="232"/>
      <c r="F93" s="234"/>
      <c r="G93" s="235"/>
      <c r="H93" s="236"/>
      <c r="I93" s="233"/>
      <c r="K93" s="234"/>
    </row>
    <row r="94">
      <c r="C94" s="234"/>
      <c r="D94" s="232"/>
      <c r="F94" s="234"/>
      <c r="G94" s="235"/>
      <c r="H94" s="236"/>
      <c r="I94" s="233"/>
      <c r="K94" s="234"/>
    </row>
    <row r="95">
      <c r="C95" s="234"/>
      <c r="D95" s="232"/>
      <c r="F95" s="234"/>
      <c r="G95" s="235"/>
      <c r="H95" s="236"/>
      <c r="I95" s="233"/>
      <c r="K95" s="234"/>
    </row>
    <row r="96">
      <c r="C96" s="234"/>
      <c r="D96" s="232"/>
      <c r="F96" s="234"/>
      <c r="G96" s="235"/>
      <c r="H96" s="236"/>
      <c r="I96" s="233"/>
      <c r="K96" s="234"/>
    </row>
    <row r="97">
      <c r="C97" s="234"/>
      <c r="D97" s="232"/>
      <c r="F97" s="234"/>
      <c r="G97" s="235"/>
      <c r="H97" s="236"/>
      <c r="I97" s="233"/>
      <c r="K97" s="234"/>
    </row>
    <row r="98">
      <c r="C98" s="234"/>
      <c r="D98" s="232"/>
      <c r="F98" s="234"/>
      <c r="G98" s="235"/>
      <c r="H98" s="236"/>
      <c r="I98" s="233"/>
      <c r="K98" s="234"/>
    </row>
    <row r="99">
      <c r="C99" s="234"/>
      <c r="D99" s="232"/>
      <c r="F99" s="234"/>
      <c r="G99" s="235"/>
      <c r="H99" s="236"/>
      <c r="I99" s="233"/>
      <c r="K99" s="234"/>
    </row>
    <row r="100">
      <c r="C100" s="234"/>
      <c r="D100" s="232"/>
      <c r="F100" s="234"/>
      <c r="G100" s="235"/>
      <c r="H100" s="236"/>
      <c r="I100" s="233"/>
      <c r="K100" s="234"/>
    </row>
    <row r="101">
      <c r="C101" s="234"/>
      <c r="D101" s="232"/>
      <c r="F101" s="234"/>
      <c r="G101" s="235"/>
      <c r="H101" s="236"/>
      <c r="I101" s="233"/>
      <c r="K101" s="234"/>
    </row>
    <row r="102">
      <c r="C102" s="234"/>
      <c r="D102" s="232"/>
      <c r="F102" s="234"/>
      <c r="G102" s="235"/>
      <c r="H102" s="236"/>
      <c r="I102" s="233"/>
      <c r="K102" s="234"/>
    </row>
    <row r="103">
      <c r="C103" s="234"/>
      <c r="D103" s="232"/>
      <c r="F103" s="234"/>
      <c r="G103" s="235"/>
      <c r="H103" s="236"/>
      <c r="I103" s="233"/>
      <c r="K103" s="234"/>
    </row>
    <row r="104">
      <c r="C104" s="234"/>
      <c r="D104" s="232"/>
      <c r="F104" s="234"/>
      <c r="G104" s="235"/>
      <c r="H104" s="236"/>
      <c r="I104" s="233"/>
      <c r="K104" s="234"/>
    </row>
    <row r="105">
      <c r="C105" s="234"/>
      <c r="D105" s="232"/>
      <c r="F105" s="234"/>
      <c r="G105" s="235"/>
      <c r="H105" s="236"/>
      <c r="I105" s="233"/>
      <c r="K105" s="234"/>
    </row>
    <row r="106">
      <c r="C106" s="234"/>
      <c r="D106" s="232"/>
      <c r="F106" s="234"/>
      <c r="G106" s="235"/>
      <c r="H106" s="236"/>
      <c r="I106" s="233"/>
      <c r="K106" s="234"/>
    </row>
    <row r="107">
      <c r="C107" s="234"/>
      <c r="D107" s="232"/>
      <c r="F107" s="234"/>
      <c r="G107" s="235"/>
      <c r="H107" s="236"/>
      <c r="I107" s="233"/>
      <c r="K107" s="234"/>
    </row>
    <row r="108">
      <c r="C108" s="234"/>
      <c r="D108" s="232"/>
      <c r="F108" s="234"/>
      <c r="G108" s="235"/>
      <c r="H108" s="236"/>
      <c r="I108" s="233"/>
      <c r="K108" s="234"/>
    </row>
    <row r="109">
      <c r="C109" s="234"/>
      <c r="D109" s="232"/>
      <c r="F109" s="234"/>
      <c r="G109" s="235"/>
      <c r="H109" s="236"/>
      <c r="I109" s="233"/>
      <c r="K109" s="234"/>
    </row>
    <row r="110">
      <c r="C110" s="234"/>
      <c r="D110" s="232"/>
      <c r="F110" s="234"/>
      <c r="G110" s="235"/>
      <c r="H110" s="236"/>
      <c r="I110" s="233"/>
      <c r="K110" s="234"/>
    </row>
    <row r="111">
      <c r="C111" s="234"/>
      <c r="D111" s="232"/>
      <c r="F111" s="234"/>
      <c r="G111" s="235"/>
      <c r="H111" s="236"/>
      <c r="I111" s="233"/>
      <c r="K111" s="234"/>
    </row>
    <row r="112">
      <c r="C112" s="234"/>
      <c r="D112" s="232"/>
      <c r="F112" s="234"/>
      <c r="G112" s="235"/>
      <c r="H112" s="236"/>
      <c r="I112" s="233"/>
      <c r="K112" s="234"/>
    </row>
    <row r="113">
      <c r="C113" s="234"/>
      <c r="D113" s="232"/>
      <c r="F113" s="234"/>
      <c r="G113" s="235"/>
      <c r="H113" s="236"/>
      <c r="I113" s="233"/>
      <c r="K113" s="234"/>
    </row>
    <row r="114">
      <c r="C114" s="234"/>
      <c r="D114" s="232"/>
      <c r="F114" s="234"/>
      <c r="G114" s="235"/>
      <c r="H114" s="236"/>
      <c r="I114" s="233"/>
      <c r="K114" s="234"/>
    </row>
    <row r="115">
      <c r="C115" s="234"/>
      <c r="D115" s="232"/>
      <c r="F115" s="234"/>
      <c r="G115" s="235"/>
      <c r="H115" s="236"/>
      <c r="I115" s="233"/>
      <c r="K115" s="234"/>
    </row>
    <row r="116">
      <c r="C116" s="234"/>
      <c r="D116" s="232"/>
      <c r="F116" s="234"/>
      <c r="G116" s="235"/>
      <c r="H116" s="236"/>
      <c r="I116" s="233"/>
      <c r="K116" s="234"/>
    </row>
    <row r="117">
      <c r="C117" s="234"/>
      <c r="D117" s="232"/>
      <c r="F117" s="234"/>
      <c r="G117" s="235"/>
      <c r="H117" s="236"/>
      <c r="I117" s="233"/>
      <c r="K117" s="234"/>
    </row>
    <row r="118">
      <c r="C118" s="234"/>
      <c r="D118" s="232"/>
      <c r="F118" s="234"/>
      <c r="G118" s="235"/>
      <c r="H118" s="236"/>
      <c r="I118" s="233"/>
      <c r="K118" s="234"/>
    </row>
    <row r="119">
      <c r="C119" s="234"/>
      <c r="D119" s="232"/>
      <c r="F119" s="234"/>
      <c r="G119" s="235"/>
      <c r="H119" s="236"/>
      <c r="I119" s="233"/>
      <c r="K119" s="234"/>
    </row>
    <row r="120">
      <c r="C120" s="234"/>
      <c r="D120" s="232"/>
      <c r="F120" s="234"/>
      <c r="G120" s="235"/>
      <c r="H120" s="236"/>
      <c r="I120" s="233"/>
      <c r="K120" s="234"/>
    </row>
    <row r="121">
      <c r="C121" s="234"/>
      <c r="D121" s="232"/>
      <c r="F121" s="234"/>
      <c r="G121" s="235"/>
      <c r="H121" s="236"/>
      <c r="I121" s="233"/>
      <c r="K121" s="234"/>
    </row>
    <row r="122">
      <c r="C122" s="234"/>
      <c r="D122" s="232"/>
      <c r="F122" s="234"/>
      <c r="G122" s="235"/>
      <c r="H122" s="236"/>
      <c r="I122" s="233"/>
      <c r="K122" s="234"/>
    </row>
    <row r="123">
      <c r="C123" s="234"/>
      <c r="D123" s="232"/>
      <c r="F123" s="234"/>
      <c r="G123" s="235"/>
      <c r="H123" s="236"/>
      <c r="I123" s="233"/>
      <c r="K123" s="234"/>
    </row>
    <row r="124">
      <c r="C124" s="234"/>
      <c r="D124" s="232"/>
      <c r="F124" s="234"/>
      <c r="G124" s="235"/>
      <c r="H124" s="236"/>
      <c r="I124" s="233"/>
      <c r="K124" s="234"/>
    </row>
    <row r="125">
      <c r="C125" s="234"/>
      <c r="D125" s="232"/>
      <c r="F125" s="234"/>
      <c r="G125" s="235"/>
      <c r="H125" s="236"/>
      <c r="I125" s="233"/>
      <c r="K125" s="234"/>
    </row>
    <row r="126">
      <c r="C126" s="234"/>
      <c r="D126" s="232"/>
      <c r="F126" s="234"/>
      <c r="G126" s="235"/>
      <c r="H126" s="236"/>
      <c r="I126" s="233"/>
      <c r="K126" s="234"/>
    </row>
    <row r="127">
      <c r="C127" s="234"/>
      <c r="D127" s="232"/>
      <c r="F127" s="234"/>
      <c r="G127" s="235"/>
      <c r="H127" s="236"/>
      <c r="I127" s="233"/>
      <c r="K127" s="234"/>
    </row>
    <row r="128">
      <c r="C128" s="234"/>
      <c r="D128" s="232"/>
      <c r="F128" s="234"/>
      <c r="G128" s="235"/>
      <c r="H128" s="236"/>
      <c r="I128" s="233"/>
      <c r="K128" s="234"/>
    </row>
    <row r="129">
      <c r="C129" s="234"/>
      <c r="D129" s="232"/>
      <c r="F129" s="234"/>
      <c r="G129" s="235"/>
      <c r="H129" s="236"/>
      <c r="I129" s="233"/>
      <c r="K129" s="234"/>
    </row>
    <row r="130">
      <c r="C130" s="234"/>
      <c r="D130" s="232"/>
      <c r="F130" s="234"/>
      <c r="G130" s="235"/>
      <c r="H130" s="236"/>
      <c r="I130" s="233"/>
      <c r="K130" s="234"/>
    </row>
    <row r="131">
      <c r="C131" s="234"/>
      <c r="D131" s="232"/>
      <c r="F131" s="234"/>
      <c r="G131" s="235"/>
      <c r="H131" s="236"/>
      <c r="I131" s="233"/>
      <c r="K131" s="234"/>
    </row>
    <row r="132">
      <c r="C132" s="234"/>
      <c r="D132" s="232"/>
      <c r="F132" s="234"/>
      <c r="G132" s="235"/>
      <c r="H132" s="236"/>
      <c r="I132" s="233"/>
      <c r="K132" s="234"/>
    </row>
    <row r="133">
      <c r="C133" s="234"/>
      <c r="D133" s="232"/>
      <c r="F133" s="234"/>
      <c r="G133" s="235"/>
      <c r="H133" s="236"/>
      <c r="I133" s="233"/>
      <c r="K133" s="234"/>
    </row>
    <row r="134">
      <c r="C134" s="234"/>
      <c r="D134" s="232"/>
      <c r="F134" s="234"/>
      <c r="G134" s="235"/>
      <c r="H134" s="236"/>
      <c r="I134" s="233"/>
      <c r="K134" s="234"/>
    </row>
    <row r="135">
      <c r="C135" s="234"/>
      <c r="D135" s="232"/>
      <c r="F135" s="234"/>
      <c r="G135" s="235"/>
      <c r="H135" s="236"/>
      <c r="I135" s="233"/>
      <c r="K135" s="234"/>
    </row>
    <row r="136">
      <c r="C136" s="234"/>
      <c r="D136" s="232"/>
      <c r="F136" s="234"/>
      <c r="G136" s="235"/>
      <c r="H136" s="236"/>
      <c r="I136" s="233"/>
      <c r="K136" s="234"/>
    </row>
    <row r="137">
      <c r="C137" s="234"/>
      <c r="D137" s="232"/>
      <c r="F137" s="234"/>
      <c r="G137" s="235"/>
      <c r="H137" s="236"/>
      <c r="I137" s="233"/>
      <c r="K137" s="234"/>
    </row>
    <row r="138">
      <c r="C138" s="234"/>
      <c r="D138" s="232"/>
      <c r="F138" s="234"/>
      <c r="G138" s="235"/>
      <c r="H138" s="236"/>
      <c r="I138" s="233"/>
      <c r="K138" s="234"/>
    </row>
    <row r="139">
      <c r="C139" s="234"/>
      <c r="D139" s="232"/>
      <c r="F139" s="234"/>
      <c r="G139" s="235"/>
      <c r="H139" s="236"/>
      <c r="I139" s="233"/>
      <c r="K139" s="234"/>
    </row>
    <row r="140">
      <c r="C140" s="234"/>
      <c r="D140" s="232"/>
      <c r="F140" s="234"/>
      <c r="G140" s="235"/>
      <c r="H140" s="236"/>
      <c r="I140" s="233"/>
      <c r="K140" s="234"/>
    </row>
    <row r="141">
      <c r="C141" s="234"/>
      <c r="D141" s="232"/>
      <c r="F141" s="234"/>
      <c r="G141" s="235"/>
      <c r="H141" s="236"/>
      <c r="I141" s="233"/>
      <c r="K141" s="234"/>
    </row>
    <row r="142">
      <c r="C142" s="234"/>
      <c r="D142" s="232"/>
      <c r="F142" s="234"/>
      <c r="G142" s="235"/>
      <c r="H142" s="236"/>
      <c r="I142" s="233"/>
      <c r="K142" s="234"/>
    </row>
    <row r="143">
      <c r="C143" s="234"/>
      <c r="D143" s="232"/>
      <c r="F143" s="234"/>
      <c r="G143" s="235"/>
      <c r="H143" s="236"/>
      <c r="I143" s="233"/>
      <c r="K143" s="234"/>
    </row>
    <row r="144">
      <c r="C144" s="234"/>
      <c r="D144" s="232"/>
      <c r="F144" s="234"/>
      <c r="G144" s="235"/>
      <c r="H144" s="236"/>
      <c r="I144" s="233"/>
      <c r="K144" s="234"/>
    </row>
    <row r="145">
      <c r="C145" s="234"/>
      <c r="D145" s="232"/>
      <c r="F145" s="234"/>
      <c r="G145" s="235"/>
      <c r="H145" s="236"/>
      <c r="I145" s="233"/>
      <c r="K145" s="234"/>
    </row>
    <row r="146">
      <c r="C146" s="234"/>
      <c r="D146" s="232"/>
      <c r="F146" s="234"/>
      <c r="G146" s="235"/>
      <c r="H146" s="236"/>
      <c r="I146" s="233"/>
      <c r="K146" s="234"/>
    </row>
    <row r="147">
      <c r="C147" s="234"/>
      <c r="D147" s="232"/>
      <c r="F147" s="234"/>
      <c r="G147" s="235"/>
      <c r="H147" s="236"/>
      <c r="I147" s="233"/>
      <c r="K147" s="234"/>
    </row>
    <row r="148">
      <c r="C148" s="234"/>
      <c r="D148" s="232"/>
      <c r="F148" s="234"/>
      <c r="G148" s="235"/>
      <c r="H148" s="236"/>
      <c r="I148" s="233"/>
      <c r="K148" s="234"/>
    </row>
    <row r="149">
      <c r="C149" s="234"/>
      <c r="D149" s="232"/>
      <c r="F149" s="234"/>
      <c r="G149" s="235"/>
      <c r="H149" s="236"/>
      <c r="I149" s="233"/>
      <c r="K149" s="234"/>
    </row>
    <row r="150">
      <c r="C150" s="234"/>
      <c r="D150" s="232"/>
      <c r="F150" s="234"/>
      <c r="G150" s="235"/>
      <c r="H150" s="236"/>
      <c r="I150" s="233"/>
      <c r="K150" s="234"/>
    </row>
    <row r="151">
      <c r="C151" s="234"/>
      <c r="D151" s="232"/>
      <c r="F151" s="234"/>
      <c r="G151" s="235"/>
      <c r="H151" s="236"/>
      <c r="I151" s="233"/>
      <c r="K151" s="234"/>
    </row>
    <row r="152">
      <c r="C152" s="234"/>
      <c r="D152" s="232"/>
      <c r="F152" s="234"/>
      <c r="G152" s="235"/>
      <c r="H152" s="236"/>
      <c r="I152" s="233"/>
      <c r="K152" s="234"/>
    </row>
    <row r="153">
      <c r="C153" s="234"/>
      <c r="D153" s="232"/>
      <c r="F153" s="234"/>
      <c r="G153" s="235"/>
      <c r="H153" s="236"/>
      <c r="I153" s="233"/>
      <c r="K153" s="234"/>
    </row>
    <row r="154">
      <c r="C154" s="234"/>
      <c r="D154" s="232"/>
      <c r="F154" s="234"/>
      <c r="G154" s="235"/>
      <c r="H154" s="236"/>
      <c r="I154" s="233"/>
      <c r="K154" s="234"/>
    </row>
    <row r="155">
      <c r="C155" s="234"/>
      <c r="D155" s="232"/>
      <c r="F155" s="234"/>
      <c r="G155" s="235"/>
      <c r="H155" s="236"/>
      <c r="I155" s="233"/>
      <c r="K155" s="234"/>
    </row>
    <row r="156">
      <c r="C156" s="234"/>
      <c r="D156" s="232"/>
      <c r="F156" s="234"/>
      <c r="G156" s="235"/>
      <c r="H156" s="236"/>
      <c r="I156" s="233"/>
      <c r="K156" s="234"/>
    </row>
    <row r="157">
      <c r="C157" s="234"/>
      <c r="D157" s="232"/>
      <c r="F157" s="234"/>
      <c r="G157" s="235"/>
      <c r="H157" s="236"/>
      <c r="I157" s="233"/>
      <c r="K157" s="234"/>
    </row>
    <row r="158">
      <c r="C158" s="234"/>
      <c r="D158" s="232"/>
      <c r="F158" s="234"/>
      <c r="G158" s="235"/>
      <c r="H158" s="236"/>
      <c r="I158" s="233"/>
      <c r="K158" s="234"/>
    </row>
    <row r="159">
      <c r="C159" s="234"/>
      <c r="D159" s="232"/>
      <c r="F159" s="234"/>
      <c r="G159" s="235"/>
      <c r="H159" s="236"/>
      <c r="I159" s="233"/>
      <c r="K159" s="234"/>
    </row>
    <row r="160">
      <c r="C160" s="234"/>
      <c r="D160" s="232"/>
      <c r="F160" s="234"/>
      <c r="G160" s="235"/>
      <c r="H160" s="236"/>
      <c r="I160" s="233"/>
      <c r="K160" s="234"/>
    </row>
    <row r="161">
      <c r="C161" s="234"/>
      <c r="D161" s="232"/>
      <c r="F161" s="234"/>
      <c r="G161" s="235"/>
      <c r="H161" s="236"/>
      <c r="I161" s="233"/>
      <c r="K161" s="234"/>
    </row>
    <row r="162">
      <c r="C162" s="234"/>
      <c r="D162" s="232"/>
      <c r="F162" s="234"/>
      <c r="G162" s="235"/>
      <c r="H162" s="236"/>
      <c r="I162" s="233"/>
      <c r="K162" s="234"/>
    </row>
    <row r="163">
      <c r="C163" s="234"/>
      <c r="D163" s="232"/>
      <c r="F163" s="234"/>
      <c r="G163" s="235"/>
      <c r="H163" s="236"/>
      <c r="I163" s="233"/>
      <c r="K163" s="234"/>
    </row>
    <row r="164">
      <c r="C164" s="234"/>
      <c r="D164" s="232"/>
      <c r="F164" s="234"/>
      <c r="G164" s="235"/>
      <c r="H164" s="236"/>
      <c r="I164" s="233"/>
      <c r="K164" s="234"/>
    </row>
    <row r="165">
      <c r="C165" s="234"/>
      <c r="D165" s="232"/>
      <c r="F165" s="234"/>
      <c r="G165" s="235"/>
      <c r="H165" s="236"/>
      <c r="I165" s="233"/>
      <c r="K165" s="234"/>
    </row>
    <row r="166">
      <c r="C166" s="234"/>
      <c r="D166" s="232"/>
      <c r="F166" s="234"/>
      <c r="G166" s="235"/>
      <c r="H166" s="236"/>
      <c r="I166" s="233"/>
      <c r="K166" s="234"/>
    </row>
    <row r="167">
      <c r="C167" s="234"/>
      <c r="D167" s="232"/>
      <c r="F167" s="234"/>
      <c r="G167" s="235"/>
      <c r="H167" s="236"/>
      <c r="I167" s="233"/>
      <c r="K167" s="234"/>
    </row>
    <row r="168">
      <c r="C168" s="234"/>
      <c r="D168" s="232"/>
      <c r="F168" s="234"/>
      <c r="G168" s="235"/>
      <c r="H168" s="236"/>
      <c r="I168" s="233"/>
      <c r="K168" s="234"/>
    </row>
    <row r="169">
      <c r="C169" s="234"/>
      <c r="D169" s="232"/>
      <c r="F169" s="234"/>
      <c r="G169" s="235"/>
      <c r="H169" s="236"/>
      <c r="I169" s="233"/>
      <c r="K169" s="234"/>
    </row>
    <row r="170">
      <c r="C170" s="234"/>
      <c r="D170" s="232"/>
      <c r="F170" s="234"/>
      <c r="G170" s="235"/>
      <c r="H170" s="236"/>
      <c r="I170" s="233"/>
      <c r="K170" s="234"/>
    </row>
    <row r="171">
      <c r="C171" s="234"/>
      <c r="D171" s="232"/>
      <c r="F171" s="234"/>
      <c r="G171" s="235"/>
      <c r="H171" s="236"/>
      <c r="I171" s="233"/>
      <c r="K171" s="234"/>
    </row>
    <row r="172">
      <c r="C172" s="234"/>
      <c r="D172" s="232"/>
      <c r="F172" s="234"/>
      <c r="G172" s="235"/>
      <c r="H172" s="236"/>
      <c r="I172" s="233"/>
      <c r="K172" s="234"/>
    </row>
    <row r="173">
      <c r="C173" s="234"/>
      <c r="D173" s="232"/>
      <c r="F173" s="234"/>
      <c r="G173" s="235"/>
      <c r="H173" s="236"/>
      <c r="I173" s="233"/>
      <c r="K173" s="234"/>
    </row>
    <row r="174">
      <c r="C174" s="234"/>
      <c r="D174" s="232"/>
      <c r="F174" s="234"/>
      <c r="G174" s="235"/>
      <c r="H174" s="236"/>
      <c r="I174" s="233"/>
      <c r="K174" s="234"/>
    </row>
    <row r="175">
      <c r="C175" s="234"/>
      <c r="D175" s="232"/>
      <c r="F175" s="234"/>
      <c r="G175" s="235"/>
      <c r="H175" s="236"/>
      <c r="I175" s="233"/>
      <c r="K175" s="234"/>
    </row>
    <row r="176">
      <c r="C176" s="234"/>
      <c r="D176" s="232"/>
      <c r="F176" s="234"/>
      <c r="G176" s="235"/>
      <c r="H176" s="236"/>
      <c r="I176" s="233"/>
      <c r="K176" s="234"/>
    </row>
    <row r="177">
      <c r="C177" s="234"/>
      <c r="D177" s="232"/>
      <c r="F177" s="234"/>
      <c r="G177" s="235"/>
      <c r="H177" s="236"/>
      <c r="I177" s="233"/>
      <c r="K177" s="234"/>
    </row>
    <row r="178">
      <c r="C178" s="234"/>
      <c r="D178" s="232"/>
      <c r="F178" s="234"/>
      <c r="G178" s="235"/>
      <c r="H178" s="236"/>
      <c r="I178" s="233"/>
      <c r="K178" s="234"/>
    </row>
    <row r="179">
      <c r="C179" s="234"/>
      <c r="D179" s="232"/>
      <c r="F179" s="234"/>
      <c r="G179" s="235"/>
      <c r="H179" s="236"/>
      <c r="I179" s="233"/>
      <c r="K179" s="234"/>
    </row>
    <row r="180">
      <c r="C180" s="234"/>
      <c r="D180" s="232"/>
      <c r="F180" s="234"/>
      <c r="G180" s="235"/>
      <c r="H180" s="236"/>
      <c r="I180" s="233"/>
      <c r="K180" s="234"/>
    </row>
    <row r="181">
      <c r="C181" s="234"/>
      <c r="D181" s="232"/>
      <c r="F181" s="234"/>
      <c r="G181" s="235"/>
      <c r="H181" s="236"/>
      <c r="I181" s="233"/>
      <c r="K181" s="234"/>
    </row>
    <row r="182">
      <c r="C182" s="234"/>
      <c r="D182" s="232"/>
      <c r="F182" s="234"/>
      <c r="G182" s="235"/>
      <c r="H182" s="236"/>
      <c r="I182" s="233"/>
      <c r="K182" s="234"/>
    </row>
  </sheetData>
  <mergeCells>
    <mergeCell ref="B2:D2"/>
    <mergeCell ref="C3:D3"/>
    <mergeCell ref="C4:D4"/>
    <mergeCell ref="J2:O2"/>
    <mergeCell ref="B7:D7"/>
  </mergeCells>
  <hyperlinks>
    <hyperlink ref="C1" display="PLAN KHAI TRƯƠNG CHI NHÁNH Q7" r:id="rId1"/>
    <hyperlink ref="B7" display="Action Plan Openning Q.9 25.10-30.11" r:id="rId2"/>
  </hyperlink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F2" xSplit="5" ySplit="1"/>
    </sheetView>
  </sheetViews>
  <sheetFormatPr defaultColWidth="14" defaultRowHeight="19"/>
  <cols>
    <col collapsed="false" customWidth="true" hidden="false" max="3" min="3" style="0" width="21"/>
    <col collapsed="false" customWidth="true" hidden="false" max="5" min="5" style="0" width="2"/>
    <col collapsed="false" customWidth="true" hidden="false" max="7" min="7" style="0" width="38"/>
    <col collapsed="false" customWidth="true" hidden="false" max="9" min="9" style="0" width="34"/>
    <col collapsed="false" customWidth="true" hidden="false" max="11" min="11" style="0" width="39"/>
    <col collapsed="false" customWidth="true" hidden="false" max="13" min="13" style="0" width="36"/>
    <col collapsed="false" customWidth="true" hidden="false" max="1" min="1" style="0" width="1"/>
    <col collapsed="false" customWidth="true" hidden="false" max="4" min="4" style="0" width="16"/>
    <col collapsed="false" customWidth="true" hidden="false" max="6" min="6" style="0" width="29"/>
    <col collapsed="false" customWidth="true" hidden="false" max="8" min="8" style="0" width="2"/>
    <col collapsed="false" customWidth="true" hidden="false" max="10" min="10" style="0" width="56"/>
    <col collapsed="false" customWidth="true" hidden="false" max="12" min="12" style="0" width="51"/>
    <col collapsed="false" customWidth="true" hidden="false" max="14" min="14" style="0" width="46"/>
    <col collapsed="false" customWidth="true" hidden="false" max="2" min="2" style="0" width="10"/>
  </cols>
  <sheetData>
    <row r="1">
      <c r="G1" s="273"/>
      <c r="I1" s="274"/>
      <c r="J1" s="274"/>
      <c r="K1" s="274"/>
      <c r="L1" s="274"/>
      <c r="M1" s="274"/>
      <c r="N1" s="274"/>
    </row>
    <row r="2">
      <c r="B2" s="275"/>
      <c r="C2" s="276" t="s">
        <v>229</v>
      </c>
      <c r="D2" s="276"/>
      <c r="F2" s="277" t="s">
        <v>230</v>
      </c>
      <c r="I2" s="278" t="s">
        <v>231</v>
      </c>
      <c r="J2" s="278"/>
      <c r="K2" s="278"/>
      <c r="L2" s="278"/>
      <c r="M2" s="278"/>
      <c r="N2" s="278"/>
    </row>
    <row r="3">
      <c r="B3" s="275"/>
      <c r="C3" s="279" t="s">
        <v>232</v>
      </c>
      <c r="D3" s="279" t="s">
        <v>233</v>
      </c>
      <c r="E3" s="275"/>
      <c r="I3" s="280" t="s">
        <v>234</v>
      </c>
      <c r="J3" s="280"/>
      <c r="K3" s="280"/>
      <c r="L3" s="280"/>
      <c r="M3" s="280"/>
      <c r="N3" s="280"/>
    </row>
    <row r="4">
      <c r="B4" s="281" t="s">
        <v>235</v>
      </c>
      <c r="C4" s="282">
        <f>(('A.OKR&amp;KPI 10-12.2024'!C5/31)*7)+((7000000000+(7000000000/31)*15))</f>
      </c>
      <c r="D4" s="282">
        <f>C4*6%</f>
      </c>
      <c r="I4" s="283" t="s">
        <v>236</v>
      </c>
      <c r="J4" s="283"/>
      <c r="K4" s="283" t="s">
        <v>237</v>
      </c>
      <c r="L4" s="283"/>
      <c r="M4" s="283" t="s">
        <v>238</v>
      </c>
      <c r="N4" s="283"/>
    </row>
    <row r="5">
      <c r="A5" s="275"/>
      <c r="B5" s="281" t="s">
        <v>239</v>
      </c>
      <c r="C5" s="284">
        <f>C4/(30+15+7)</f>
      </c>
      <c r="D5" s="285">
        <f>D4/C4</f>
      </c>
      <c r="E5" s="275"/>
      <c r="F5" s="286" t="s">
        <v>240</v>
      </c>
      <c r="G5" s="286"/>
      <c r="H5" s="287"/>
      <c r="I5" s="280" t="s">
        <v>241</v>
      </c>
      <c r="J5" s="280" t="s">
        <v>242</v>
      </c>
      <c r="K5" s="280" t="s">
        <v>241</v>
      </c>
      <c r="L5" s="280" t="s">
        <v>242</v>
      </c>
      <c r="M5" s="280" t="s">
        <v>241</v>
      </c>
      <c r="N5" s="280" t="s">
        <v>242</v>
      </c>
      <c r="O5" s="275"/>
      <c r="P5" s="275"/>
      <c r="Q5" s="275"/>
      <c r="R5" s="275"/>
      <c r="S5" s="275"/>
      <c r="T5" s="275"/>
    </row>
    <row r="6">
      <c r="B6" s="275"/>
      <c r="C6" s="276" t="s">
        <v>243</v>
      </c>
      <c r="D6" s="276"/>
      <c r="E6" s="274"/>
      <c r="F6" s="288" t="s">
        <v>244</v>
      </c>
      <c r="G6" s="289" t="s">
        <v>245</v>
      </c>
      <c r="H6" s="290"/>
      <c r="I6" s="291" t="s">
        <v>246</v>
      </c>
      <c r="J6" s="291"/>
      <c r="K6" s="292" t="s">
        <v>247</v>
      </c>
      <c r="L6" s="293"/>
      <c r="M6" s="292" t="s">
        <v>248</v>
      </c>
      <c r="N6" s="294"/>
    </row>
    <row customHeight="true" ht="19" r="7">
      <c r="B7" s="295">
        <f t="shared" ref="B7:B13" si="0">D7/63</f>
      </c>
      <c r="C7" s="296" t="s">
        <v>249</v>
      </c>
      <c r="D7" s="297">
        <f>D4*60%</f>
      </c>
      <c r="E7" s="274"/>
      <c r="F7" s="298" t="s">
        <v>250</v>
      </c>
      <c r="G7" s="290" t="s">
        <v>251</v>
      </c>
      <c r="H7" s="290"/>
      <c r="I7" s="299" t="s">
        <v>252</v>
      </c>
      <c r="J7" s="299"/>
      <c r="K7" s="299" t="s">
        <v>253</v>
      </c>
      <c r="L7" s="294"/>
      <c r="M7" s="299" t="s">
        <v>253</v>
      </c>
      <c r="N7" s="294"/>
    </row>
    <row customHeight="true" ht="19" r="8">
      <c r="B8" s="295">
        <f t="shared" si="0"/>
      </c>
      <c r="C8" s="300" t="s">
        <v>254</v>
      </c>
      <c r="D8" s="301">
        <f>D7*80%</f>
      </c>
      <c r="E8" s="274"/>
      <c r="F8" s="298"/>
      <c r="G8" s="290"/>
      <c r="H8" s="290"/>
      <c r="I8" s="299" t="s">
        <v>255</v>
      </c>
      <c r="J8" s="302"/>
      <c r="K8" s="299" t="s">
        <v>256</v>
      </c>
      <c r="L8" s="294"/>
      <c r="M8" s="303" t="s">
        <v>256</v>
      </c>
      <c r="N8" s="294"/>
    </row>
    <row customHeight="true" ht="35" r="9">
      <c r="B9" s="295">
        <f t="shared" si="0"/>
      </c>
      <c r="C9" s="300" t="s">
        <v>257</v>
      </c>
      <c r="D9" s="304">
        <f>D7*5%</f>
      </c>
      <c r="E9" s="274"/>
      <c r="F9" s="305" t="s">
        <v>258</v>
      </c>
      <c r="G9" s="290" t="s">
        <v>259</v>
      </c>
      <c r="H9" s="290"/>
      <c r="I9" s="306">
        <v>1.8</v>
      </c>
      <c r="J9" s="307" t="s">
        <v>260</v>
      </c>
      <c r="K9" s="308">
        <v>2.7</v>
      </c>
      <c r="L9" s="309" t="s">
        <v>260</v>
      </c>
      <c r="M9" s="310">
        <v>2.7</v>
      </c>
      <c r="N9" s="309" t="s">
        <v>260</v>
      </c>
    </row>
    <row customHeight="true" ht="31" r="10">
      <c r="B10" s="295">
        <f t="shared" si="0"/>
      </c>
      <c r="C10" s="300" t="s">
        <v>261</v>
      </c>
      <c r="D10" s="301">
        <f>D7*6%</f>
      </c>
      <c r="E10" s="274"/>
      <c r="F10" s="305"/>
      <c r="G10" s="290" t="s">
        <v>262</v>
      </c>
      <c r="H10" s="290"/>
      <c r="I10" s="311">
        <v>1.35</v>
      </c>
      <c r="J10" s="307"/>
      <c r="K10" s="312">
        <v>1.8</v>
      </c>
      <c r="L10" s="309"/>
      <c r="M10" s="313">
        <v>1.8</v>
      </c>
      <c r="N10" s="314"/>
    </row>
    <row customHeight="true" ht="35" r="11">
      <c r="B11" s="295">
        <f t="shared" si="0"/>
      </c>
      <c r="C11" s="300" t="s">
        <v>263</v>
      </c>
      <c r="D11" s="301">
        <f t="shared" ref="D11:D12" si="1">D7*3%</f>
      </c>
      <c r="E11" s="274"/>
      <c r="F11" s="305"/>
      <c r="G11" s="290" t="s">
        <v>264</v>
      </c>
      <c r="H11" s="290"/>
      <c r="I11" s="313">
        <v>0.18</v>
      </c>
      <c r="J11" s="307"/>
      <c r="K11" s="315">
        <v>0.18</v>
      </c>
      <c r="L11" s="309"/>
      <c r="M11" s="310">
        <v>0.18</v>
      </c>
      <c r="N11" s="314"/>
    </row>
    <row customHeight="true" ht="31" r="12">
      <c r="B12" s="295">
        <f t="shared" si="0"/>
      </c>
      <c r="C12" s="300" t="s">
        <v>265</v>
      </c>
      <c r="D12" s="304">
        <f t="shared" si="1"/>
      </c>
      <c r="E12" s="274"/>
      <c r="F12" s="305"/>
      <c r="G12" s="290" t="s">
        <v>266</v>
      </c>
      <c r="H12" s="290"/>
      <c r="I12" s="316">
        <v>200000</v>
      </c>
      <c r="J12" s="317" t="s">
        <v>267</v>
      </c>
      <c r="K12" s="318">
        <v>1800000</v>
      </c>
      <c r="L12" s="319" t="s">
        <v>267</v>
      </c>
      <c r="M12" s="320">
        <v>450000</v>
      </c>
      <c r="N12" s="319" t="s">
        <v>267</v>
      </c>
    </row>
    <row customHeight="true" ht="19" r="13">
      <c r="B13" s="295">
        <f t="shared" si="0"/>
      </c>
      <c r="C13" s="321" t="s">
        <v>268</v>
      </c>
      <c r="D13" s="301">
        <f>D7*3%</f>
      </c>
      <c r="E13" s="274"/>
      <c r="F13" s="305"/>
      <c r="G13" s="290" t="s">
        <v>269</v>
      </c>
      <c r="H13" s="290"/>
      <c r="I13" s="316" t="s">
        <v>270</v>
      </c>
      <c r="J13" s="322" t="s">
        <v>271</v>
      </c>
      <c r="K13" s="317" t="s">
        <v>272</v>
      </c>
      <c r="L13" s="323"/>
      <c r="M13" s="324" t="s">
        <v>272</v>
      </c>
      <c r="N13" s="323"/>
    </row>
    <row customHeight="true" ht="39" r="14">
      <c r="B14" s="275"/>
      <c r="C14" s="325" t="s">
        <v>273</v>
      </c>
      <c r="D14" s="326">
        <f>D4-D7</f>
      </c>
      <c r="E14" s="274"/>
      <c r="F14" s="298" t="s">
        <v>274</v>
      </c>
      <c r="G14" s="327" t="s">
        <v>275</v>
      </c>
      <c r="H14" s="327"/>
      <c r="I14" s="328" t="s">
        <v>276</v>
      </c>
      <c r="J14" s="329"/>
      <c r="K14" s="330" t="s">
        <v>277</v>
      </c>
      <c r="L14" s="294"/>
      <c r="M14" s="331" t="s">
        <v>278</v>
      </c>
      <c r="N14" s="294"/>
    </row>
    <row customHeight="true" ht="28" r="15">
      <c r="B15" s="275"/>
      <c r="C15" s="332" t="s">
        <v>279</v>
      </c>
      <c r="D15" s="301">
        <v>80000000</v>
      </c>
      <c r="E15" s="274"/>
      <c r="F15" s="298" t="s">
        <v>280</v>
      </c>
      <c r="G15" s="290" t="s">
        <v>281</v>
      </c>
      <c r="H15" s="290"/>
      <c r="I15" s="329" t="s">
        <v>282</v>
      </c>
      <c r="J15" s="319"/>
      <c r="K15" s="333" t="s">
        <v>283</v>
      </c>
      <c r="L15" s="333"/>
      <c r="M15" s="334" t="s">
        <v>283</v>
      </c>
      <c r="N15" s="294"/>
    </row>
    <row customHeight="true" ht="19" r="16">
      <c r="B16" s="275"/>
      <c r="C16" s="332" t="s">
        <v>284</v>
      </c>
      <c r="D16" s="301">
        <v>60000000</v>
      </c>
      <c r="E16" s="274"/>
      <c r="F16" s="298"/>
      <c r="G16" s="290" t="s">
        <v>285</v>
      </c>
      <c r="H16" s="290"/>
      <c r="I16" s="335" t="s">
        <v>286</v>
      </c>
      <c r="J16" s="294"/>
      <c r="K16" s="294"/>
      <c r="L16" s="294"/>
      <c r="M16" s="294"/>
      <c r="N16" s="294"/>
    </row>
    <row customHeight="true" ht="41" r="17">
      <c r="B17" s="275"/>
      <c r="C17" s="336" t="s">
        <v>287</v>
      </c>
      <c r="D17" s="301">
        <v>15000000</v>
      </c>
      <c r="E17" s="274"/>
      <c r="F17" s="298"/>
      <c r="G17" s="290" t="s">
        <v>288</v>
      </c>
      <c r="H17" s="337"/>
      <c r="I17" s="309" t="s">
        <v>289</v>
      </c>
      <c r="J17" s="338" t="s">
        <v>290</v>
      </c>
      <c r="K17" s="309" t="s">
        <v>291</v>
      </c>
      <c r="L17" s="309" t="s">
        <v>292</v>
      </c>
      <c r="M17" s="294"/>
      <c r="N17" s="309" t="s">
        <v>292</v>
      </c>
    </row>
    <row customHeight="true" ht="19" r="18">
      <c r="B18" s="275"/>
      <c r="C18" s="336" t="s">
        <v>293</v>
      </c>
      <c r="D18" s="301">
        <v>30000000</v>
      </c>
      <c r="E18" s="274"/>
      <c r="F18" s="298"/>
      <c r="G18" s="290" t="s">
        <v>294</v>
      </c>
      <c r="H18" s="290"/>
      <c r="I18" s="339"/>
      <c r="J18" s="294"/>
      <c r="K18" s="294"/>
      <c r="L18" s="294"/>
      <c r="M18" s="294"/>
      <c r="N18" s="294"/>
    </row>
    <row customHeight="true" ht="56" r="19">
      <c r="B19" s="275"/>
      <c r="C19" s="340" t="s">
        <v>295</v>
      </c>
      <c r="D19" s="304">
        <v>70000000</v>
      </c>
      <c r="E19" s="274"/>
      <c r="F19" s="298"/>
      <c r="G19" s="290" t="s">
        <v>296</v>
      </c>
      <c r="H19" s="290"/>
      <c r="I19" s="292" t="s">
        <v>297</v>
      </c>
      <c r="J19" s="292" t="s">
        <v>298</v>
      </c>
      <c r="K19" s="341" t="s">
        <v>299</v>
      </c>
      <c r="L19" s="292" t="s">
        <v>300</v>
      </c>
      <c r="M19" s="293"/>
      <c r="N19" s="293"/>
    </row>
    <row customHeight="true" ht="19" r="20">
      <c r="B20" s="275"/>
      <c r="C20" s="340" t="s">
        <v>301</v>
      </c>
      <c r="D20" s="304">
        <v>30000000</v>
      </c>
      <c r="E20" s="274"/>
      <c r="F20" s="305" t="s">
        <v>302</v>
      </c>
      <c r="G20" s="290" t="s">
        <v>303</v>
      </c>
      <c r="H20" s="290"/>
      <c r="I20" s="319" t="s">
        <v>304</v>
      </c>
      <c r="J20" s="294"/>
      <c r="K20" s="294"/>
      <c r="L20" s="294"/>
      <c r="M20" s="294"/>
      <c r="N20" s="294"/>
    </row>
    <row customHeight="true" ht="19" r="21">
      <c r="B21" s="275"/>
      <c r="C21" s="342" t="s">
        <v>305</v>
      </c>
      <c r="D21" s="301">
        <v>20000000</v>
      </c>
      <c r="E21" s="274"/>
      <c r="F21" s="305"/>
      <c r="G21" s="290" t="s">
        <v>306</v>
      </c>
      <c r="H21" s="290"/>
      <c r="I21" s="319" t="s">
        <v>307</v>
      </c>
      <c r="J21" s="294"/>
      <c r="K21" s="294"/>
      <c r="L21" s="294"/>
      <c r="M21" s="294"/>
      <c r="N21" s="294"/>
    </row>
    <row customHeight="true" ht="34" r="22">
      <c r="B22" s="275"/>
      <c r="C22" s="343"/>
      <c r="D22" s="344">
        <f>SUM(D15:D21)</f>
      </c>
      <c r="E22" s="274"/>
      <c r="F22" s="305"/>
      <c r="G22" s="290" t="s">
        <v>308</v>
      </c>
      <c r="H22" s="290"/>
      <c r="I22" s="345"/>
      <c r="J22" s="345"/>
      <c r="K22" s="346" t="s">
        <v>309</v>
      </c>
      <c r="L22" s="294"/>
      <c r="M22" s="294"/>
      <c r="N22" s="294"/>
    </row>
    <row customHeight="true" ht="19" r="23">
      <c r="B23" s="275"/>
      <c r="C23" s="347"/>
      <c r="D23" s="344"/>
      <c r="E23" s="274"/>
      <c r="F23" s="305"/>
      <c r="G23" s="290" t="s">
        <v>310</v>
      </c>
      <c r="H23" s="290"/>
      <c r="I23" s="294"/>
      <c r="J23" s="294"/>
      <c r="K23" s="294"/>
      <c r="L23" s="294"/>
      <c r="M23" s="294"/>
      <c r="N23" s="294"/>
    </row>
    <row customHeight="true" ht="62" r="24">
      <c r="B24" s="275"/>
      <c r="C24" s="343"/>
      <c r="D24" s="344"/>
      <c r="E24" s="274"/>
      <c r="F24" s="348" t="s">
        <v>311</v>
      </c>
      <c r="G24" s="349" t="s">
        <v>312</v>
      </c>
      <c r="H24" s="350"/>
      <c r="I24" s="294"/>
      <c r="J24" s="294"/>
      <c r="K24" s="294"/>
      <c r="L24" s="294"/>
      <c r="M24" s="294"/>
      <c r="N24" s="294"/>
    </row>
    <row customHeight="true" ht="63" r="25">
      <c r="B25" s="275"/>
      <c r="C25" s="343"/>
      <c r="D25" s="344"/>
      <c r="E25" s="274"/>
      <c r="F25" s="351" t="s">
        <v>313</v>
      </c>
      <c r="G25" s="349" t="s">
        <v>314</v>
      </c>
      <c r="H25" s="349"/>
      <c r="I25" s="335" t="s">
        <v>315</v>
      </c>
      <c r="J25" s="335"/>
      <c r="K25" s="335" t="s">
        <v>316</v>
      </c>
      <c r="L25" s="352"/>
      <c r="M25" s="353" t="s">
        <v>317</v>
      </c>
      <c r="N25" s="352"/>
    </row>
    <row customHeight="true" ht="55" r="26">
      <c r="F26" s="351"/>
      <c r="G26" s="349" t="s">
        <v>318</v>
      </c>
      <c r="H26" s="354"/>
      <c r="I26" s="309" t="s">
        <v>319</v>
      </c>
      <c r="J26" s="309"/>
      <c r="K26" s="355" t="s">
        <v>320</v>
      </c>
      <c r="L26" s="294"/>
      <c r="M26" s="319" t="s">
        <v>321</v>
      </c>
      <c r="N26" s="294"/>
    </row>
    <row r="27">
      <c r="F27" s="356" t="s">
        <v>249</v>
      </c>
      <c r="G27" s="290" t="s">
        <v>322</v>
      </c>
      <c r="H27" s="337"/>
      <c r="I27" s="357" t="s">
        <v>323</v>
      </c>
      <c r="J27" s="294"/>
      <c r="K27" s="358" t="s">
        <v>324</v>
      </c>
      <c r="L27" s="294"/>
      <c r="M27" s="359" t="s">
        <v>325</v>
      </c>
      <c r="N27" s="294"/>
    </row>
    <row r="28">
      <c r="G28" s="273"/>
      <c r="I28" s="274"/>
      <c r="J28" s="274"/>
      <c r="K28" s="274"/>
      <c r="L28" s="274"/>
      <c r="M28" s="274"/>
      <c r="N28" s="274"/>
    </row>
    <row r="29">
      <c r="G29" s="273"/>
    </row>
    <row r="30">
      <c r="G30" s="273"/>
    </row>
    <row r="31">
      <c r="G31" s="273"/>
    </row>
    <row r="32">
      <c r="G32" s="273"/>
    </row>
    <row r="33">
      <c r="G33" s="273"/>
    </row>
    <row r="34">
      <c r="G34" s="273"/>
    </row>
    <row r="35">
      <c r="G35" s="273"/>
    </row>
    <row r="36">
      <c r="G36" s="273"/>
    </row>
    <row r="37">
      <c r="G37" s="273"/>
    </row>
    <row r="38">
      <c r="G38" s="273"/>
    </row>
    <row r="39">
      <c r="G39" s="273"/>
    </row>
    <row r="40">
      <c r="G40" s="273"/>
    </row>
    <row r="41">
      <c r="G41" s="273"/>
    </row>
    <row r="42">
      <c r="G42" s="273"/>
    </row>
    <row r="43">
      <c r="G43" s="273"/>
    </row>
    <row r="44">
      <c r="G44" s="273"/>
    </row>
    <row r="45">
      <c r="G45" s="273"/>
    </row>
    <row r="46">
      <c r="G46" s="273"/>
    </row>
    <row r="47">
      <c r="G47" s="273"/>
    </row>
    <row r="48">
      <c r="G48" s="273"/>
    </row>
    <row r="49">
      <c r="G49" s="273"/>
    </row>
    <row r="50">
      <c r="G50" s="273"/>
    </row>
    <row r="51">
      <c r="G51" s="273"/>
    </row>
    <row r="52">
      <c r="G52" s="273"/>
    </row>
    <row r="53">
      <c r="G53" s="273"/>
    </row>
    <row r="54">
      <c r="G54" s="273"/>
    </row>
    <row r="55">
      <c r="G55" s="273"/>
    </row>
    <row r="56">
      <c r="G56" s="273"/>
    </row>
    <row r="57">
      <c r="G57" s="273"/>
    </row>
    <row r="58">
      <c r="G58" s="273"/>
    </row>
    <row r="59">
      <c r="G59" s="273"/>
    </row>
    <row r="60">
      <c r="G60" s="273"/>
    </row>
    <row r="61">
      <c r="G61" s="273"/>
    </row>
    <row r="62">
      <c r="G62" s="273"/>
    </row>
    <row r="63">
      <c r="G63" s="273"/>
    </row>
    <row r="64">
      <c r="G64" s="273"/>
    </row>
    <row r="65">
      <c r="G65" s="273"/>
    </row>
    <row r="66">
      <c r="G66" s="273"/>
    </row>
    <row r="67">
      <c r="G67" s="273"/>
    </row>
    <row r="68">
      <c r="G68" s="273"/>
    </row>
    <row r="69">
      <c r="G69" s="273"/>
    </row>
    <row r="70">
      <c r="G70" s="273"/>
    </row>
    <row r="71">
      <c r="G71" s="273"/>
    </row>
    <row r="72">
      <c r="G72" s="273"/>
    </row>
    <row r="73">
      <c r="G73" s="273"/>
    </row>
    <row r="74">
      <c r="G74" s="273"/>
    </row>
    <row r="75">
      <c r="G75" s="273"/>
    </row>
    <row r="76">
      <c r="G76" s="273"/>
    </row>
    <row r="77">
      <c r="G77" s="273"/>
    </row>
    <row r="78">
      <c r="G78" s="273"/>
    </row>
    <row r="79">
      <c r="G79" s="273"/>
    </row>
    <row r="80">
      <c r="G80" s="273"/>
    </row>
    <row r="81">
      <c r="G81" s="273"/>
    </row>
    <row r="82">
      <c r="G82" s="273"/>
    </row>
    <row r="83">
      <c r="G83" s="273"/>
    </row>
    <row r="84">
      <c r="G84" s="273"/>
    </row>
    <row r="85">
      <c r="G85" s="273"/>
    </row>
    <row r="86">
      <c r="G86" s="273"/>
    </row>
    <row r="87">
      <c r="G87" s="273"/>
    </row>
    <row r="88">
      <c r="G88" s="273"/>
    </row>
    <row r="89">
      <c r="G89" s="273"/>
    </row>
    <row r="90">
      <c r="G90" s="273"/>
    </row>
    <row r="91">
      <c r="G91" s="273"/>
    </row>
    <row r="92">
      <c r="G92" s="273"/>
    </row>
    <row r="93">
      <c r="G93" s="273"/>
    </row>
    <row r="94">
      <c r="G94" s="273"/>
    </row>
    <row r="95">
      <c r="G95" s="273"/>
    </row>
    <row r="96">
      <c r="G96" s="273"/>
    </row>
    <row r="97">
      <c r="G97" s="273"/>
    </row>
    <row r="98">
      <c r="G98" s="273"/>
    </row>
    <row r="99">
      <c r="G99" s="273"/>
    </row>
    <row r="100">
      <c r="G100" s="273"/>
    </row>
    <row r="101">
      <c r="G101" s="273"/>
    </row>
    <row r="102">
      <c r="G102" s="273"/>
    </row>
    <row r="103">
      <c r="G103" s="273"/>
    </row>
    <row r="104">
      <c r="G104" s="273"/>
    </row>
    <row r="105">
      <c r="G105" s="273"/>
    </row>
    <row r="106">
      <c r="G106" s="273"/>
    </row>
    <row r="107">
      <c r="G107" s="273"/>
    </row>
    <row r="108">
      <c r="G108" s="273"/>
    </row>
    <row r="109">
      <c r="G109" s="273"/>
    </row>
    <row r="110">
      <c r="G110" s="273"/>
    </row>
    <row r="111">
      <c r="G111" s="273"/>
    </row>
    <row r="112">
      <c r="G112" s="273"/>
    </row>
    <row r="113">
      <c r="G113" s="273"/>
    </row>
    <row r="114">
      <c r="G114" s="273"/>
    </row>
    <row r="115">
      <c r="G115" s="273"/>
    </row>
    <row r="116">
      <c r="G116" s="273"/>
    </row>
    <row r="117">
      <c r="G117" s="273"/>
    </row>
    <row r="118">
      <c r="G118" s="273"/>
    </row>
    <row r="119">
      <c r="G119" s="273"/>
    </row>
    <row r="120">
      <c r="G120" s="273"/>
    </row>
    <row r="121">
      <c r="G121" s="273"/>
    </row>
    <row r="122">
      <c r="G122" s="273"/>
    </row>
    <row r="123">
      <c r="G123" s="273"/>
    </row>
    <row r="124">
      <c r="G124" s="273"/>
    </row>
    <row r="125">
      <c r="G125" s="273"/>
    </row>
    <row r="126">
      <c r="G126" s="273"/>
    </row>
    <row r="127">
      <c r="G127" s="273"/>
    </row>
    <row r="128">
      <c r="G128" s="273"/>
    </row>
    <row r="129">
      <c r="G129" s="273"/>
    </row>
    <row r="130">
      <c r="G130" s="273"/>
    </row>
    <row r="131">
      <c r="G131" s="273"/>
    </row>
    <row r="132">
      <c r="G132" s="273"/>
    </row>
    <row r="133">
      <c r="G133" s="273"/>
    </row>
    <row r="134">
      <c r="G134" s="273"/>
    </row>
    <row r="135">
      <c r="G135" s="273"/>
    </row>
    <row r="136">
      <c r="G136" s="273"/>
    </row>
    <row r="137">
      <c r="G137" s="273"/>
    </row>
    <row r="138">
      <c r="G138" s="273"/>
    </row>
    <row r="139">
      <c r="G139" s="273"/>
    </row>
    <row r="140">
      <c r="G140" s="273"/>
    </row>
    <row r="141">
      <c r="G141" s="273"/>
    </row>
    <row r="142">
      <c r="G142" s="273"/>
    </row>
    <row r="143">
      <c r="G143" s="273"/>
    </row>
    <row r="144">
      <c r="G144" s="273"/>
    </row>
    <row r="145">
      <c r="G145" s="273"/>
    </row>
    <row r="146">
      <c r="G146" s="273"/>
    </row>
    <row r="147">
      <c r="G147" s="273"/>
    </row>
    <row r="148">
      <c r="G148" s="273"/>
    </row>
    <row r="149">
      <c r="G149" s="273"/>
    </row>
    <row r="150">
      <c r="G150" s="273"/>
    </row>
    <row r="151">
      <c r="G151" s="273"/>
    </row>
    <row r="152">
      <c r="G152" s="273"/>
    </row>
    <row r="153">
      <c r="G153" s="273"/>
    </row>
    <row r="154">
      <c r="G154" s="273"/>
    </row>
    <row r="155">
      <c r="G155" s="273"/>
    </row>
    <row r="156">
      <c r="G156" s="273"/>
    </row>
    <row r="157">
      <c r="G157" s="273"/>
    </row>
    <row r="158">
      <c r="G158" s="273"/>
    </row>
    <row r="159">
      <c r="G159" s="273"/>
    </row>
    <row r="160">
      <c r="G160" s="273"/>
    </row>
    <row r="161">
      <c r="G161" s="273"/>
    </row>
    <row r="162">
      <c r="G162" s="273"/>
    </row>
    <row r="163">
      <c r="G163" s="273"/>
    </row>
    <row r="164">
      <c r="G164" s="273"/>
    </row>
    <row r="165">
      <c r="G165" s="273"/>
    </row>
    <row r="166">
      <c r="G166" s="273"/>
    </row>
    <row r="167">
      <c r="G167" s="273"/>
    </row>
    <row r="168">
      <c r="G168" s="273"/>
    </row>
    <row r="169">
      <c r="G169" s="273"/>
    </row>
    <row r="170">
      <c r="G170" s="273"/>
    </row>
    <row r="171">
      <c r="G171" s="273"/>
    </row>
    <row r="172">
      <c r="G172" s="273"/>
    </row>
    <row r="173">
      <c r="G173" s="273"/>
    </row>
    <row r="174">
      <c r="G174" s="273"/>
    </row>
    <row r="175">
      <c r="G175" s="273"/>
    </row>
    <row r="176">
      <c r="G176" s="273"/>
    </row>
    <row r="177">
      <c r="G177" s="273"/>
    </row>
    <row r="178">
      <c r="G178" s="273"/>
    </row>
    <row r="179">
      <c r="G179" s="273"/>
    </row>
    <row r="180">
      <c r="G180" s="273"/>
    </row>
    <row r="181">
      <c r="G181" s="273"/>
    </row>
    <row r="182">
      <c r="G182" s="273"/>
    </row>
    <row r="183">
      <c r="G183" s="273"/>
    </row>
    <row r="184">
      <c r="G184" s="273"/>
    </row>
    <row r="185">
      <c r="G185" s="273"/>
    </row>
    <row r="186">
      <c r="G186" s="273"/>
    </row>
    <row r="187">
      <c r="G187" s="273"/>
    </row>
    <row r="188">
      <c r="G188" s="273"/>
    </row>
    <row r="189">
      <c r="G189" s="273"/>
    </row>
    <row r="190">
      <c r="G190" s="273"/>
    </row>
    <row r="191">
      <c r="G191" s="273"/>
    </row>
    <row r="192">
      <c r="G192" s="273"/>
    </row>
    <row r="193">
      <c r="G193" s="273"/>
    </row>
    <row r="194">
      <c r="G194" s="273"/>
    </row>
    <row r="195">
      <c r="G195" s="273"/>
    </row>
    <row r="196">
      <c r="G196" s="273"/>
    </row>
    <row r="197">
      <c r="G197" s="273"/>
    </row>
    <row r="198">
      <c r="G198" s="273"/>
    </row>
    <row r="199">
      <c r="G199" s="273"/>
    </row>
    <row r="200">
      <c r="G200" s="273"/>
    </row>
    <row r="201">
      <c r="G201" s="273"/>
    </row>
    <row r="202">
      <c r="G202" s="273"/>
    </row>
    <row r="203">
      <c r="G203" s="273"/>
    </row>
    <row r="204">
      <c r="G204" s="273"/>
    </row>
    <row r="205">
      <c r="G205" s="273"/>
    </row>
  </sheetData>
  <mergeCells>
    <mergeCell ref="I25:J25"/>
    <mergeCell ref="I26:J26"/>
    <mergeCell ref="I24:N24"/>
    <mergeCell ref="F2:H4"/>
    <mergeCell ref="F5:H5"/>
    <mergeCell ref="G27:H27"/>
    <mergeCell ref="G26:H26"/>
    <mergeCell ref="F25:F26"/>
    <mergeCell ref="G25:H25"/>
    <mergeCell ref="G24:H24"/>
    <mergeCell ref="G23:H23"/>
    <mergeCell ref="G22:H22"/>
    <mergeCell ref="G21:H21"/>
    <mergeCell ref="F20:F23"/>
    <mergeCell ref="G20:H20"/>
    <mergeCell ref="G19:H19"/>
    <mergeCell ref="G18:H18"/>
    <mergeCell ref="G17:H17"/>
    <mergeCell ref="G16:H16"/>
    <mergeCell ref="G15:H15"/>
    <mergeCell ref="F15:F19"/>
    <mergeCell ref="G14:H14"/>
    <mergeCell ref="G13:H13"/>
    <mergeCell ref="G12:H12"/>
    <mergeCell ref="G11:H11"/>
    <mergeCell ref="G10:H10"/>
    <mergeCell ref="G9:H9"/>
    <mergeCell ref="F9:F13"/>
    <mergeCell ref="F7:F8"/>
    <mergeCell ref="G7:H8"/>
    <mergeCell ref="G6:H6"/>
    <mergeCell ref="C24:C25"/>
    <mergeCell ref="C6:D6"/>
    <mergeCell ref="C2:D2"/>
    <mergeCell ref="I2:N2"/>
    <mergeCell ref="I3:N3"/>
    <mergeCell ref="I4:J4"/>
    <mergeCell ref="K4:L4"/>
    <mergeCell ref="M4:N4"/>
    <mergeCell ref="J9:J11"/>
    <mergeCell ref="L9:L11"/>
    <mergeCell ref="N9:N11"/>
    <mergeCell ref="I20:N20"/>
    <mergeCell ref="I21:L21"/>
  </mergeCells>
  <hyperlinks>
    <hyperlink ref="I19" location="'Dance Viral Clip'!A1" display="Dance Viral Clip"/>
    <hyperlink ref="I25" display="https://matkinhtamduc.com/tich-diem-doi-qua/?utm_source=website&amp;utm_medium=noti&amp;utm_campaign=membership&amp;utm_content=hoa" r:id="rId1"/>
    <hyperlink ref="J12" display="TikTok-Định hướng" r:id="rId2"/>
    <hyperlink ref="L12" display="TikTok-Định hướng" r:id="rId3"/>
    <hyperlink ref="N12" display="TikTok-Định hướng" r:id="rId4"/>
  </hyperlink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2" xSplit="1" ySplit="1"/>
    </sheetView>
  </sheetViews>
  <sheetFormatPr defaultColWidth="14" defaultRowHeight="19"/>
  <cols>
    <col collapsed="false" customWidth="true" hidden="false" max="2" min="2" style="0" width="18"/>
    <col collapsed="false" customWidth="true" hidden="false" max="4" min="4" style="0" width="7"/>
    <col collapsed="false" customWidth="true" hidden="false" max="6" min="6" style="0" width="17"/>
    <col collapsed="false" customWidth="true" hidden="false" max="8" min="8" style="0" width="15"/>
    <col collapsed="false" customWidth="true" hidden="false" max="1" min="1" style="0" width="4"/>
    <col collapsed="false" customWidth="true" hidden="false" max="3" min="3" style="0" width="24"/>
    <col collapsed="false" customWidth="true" hidden="false" max="5" min="5" style="0" width="77"/>
    <col collapsed="false" customWidth="true" hidden="false" max="7" min="7" style="0" width="76"/>
  </cols>
  <sheetData>
    <row customHeight="true" ht="7" r="1">
      <c r="B1" s="360"/>
      <c r="C1" s="360"/>
      <c r="D1" s="361"/>
      <c r="E1" s="361"/>
      <c r="G1" s="362"/>
    </row>
    <row r="2">
      <c r="A2" s="363"/>
      <c r="B2" s="364"/>
      <c r="C2" s="364"/>
      <c r="D2" s="365"/>
      <c r="E2" s="366" t="s">
        <v>326</v>
      </c>
      <c r="F2" s="366" t="s">
        <v>327</v>
      </c>
      <c r="G2" s="367" t="s">
        <v>328</v>
      </c>
      <c r="H2" s="363"/>
      <c r="I2" s="363"/>
      <c r="J2" s="363"/>
    </row>
    <row r="3">
      <c r="A3" s="361"/>
      <c r="B3" s="368" t="s">
        <v>329</v>
      </c>
      <c r="C3" s="369" t="s">
        <v>330</v>
      </c>
      <c r="D3" s="370">
        <v>1</v>
      </c>
      <c r="E3" s="371" t="s">
        <v>331</v>
      </c>
      <c r="F3" s="372" t="s">
        <v>332</v>
      </c>
      <c r="G3" s="373"/>
      <c r="H3" s="361"/>
    </row>
    <row customHeight="true" ht="25" r="4">
      <c r="A4" s="361"/>
      <c r="B4" s="368"/>
      <c r="C4" s="369"/>
      <c r="D4" s="374">
        <v>2</v>
      </c>
      <c r="E4" s="375" t="s">
        <v>333</v>
      </c>
      <c r="F4" s="372" t="s">
        <v>332</v>
      </c>
      <c r="G4" s="373"/>
      <c r="H4" s="361"/>
    </row>
    <row r="5">
      <c r="A5" s="361"/>
      <c r="B5" s="368"/>
      <c r="C5" s="369" t="s">
        <v>334</v>
      </c>
      <c r="D5" s="370">
        <v>3</v>
      </c>
      <c r="E5" s="371" t="s">
        <v>335</v>
      </c>
      <c r="F5" s="372" t="s">
        <v>336</v>
      </c>
      <c r="G5" s="376" t="s">
        <v>337</v>
      </c>
      <c r="H5" s="361"/>
    </row>
    <row customHeight="true" ht="44" r="6">
      <c r="B6" s="368"/>
      <c r="C6" s="369"/>
      <c r="D6" s="374">
        <v>4</v>
      </c>
      <c r="E6" s="371" t="s">
        <v>338</v>
      </c>
      <c r="F6" s="372" t="s">
        <v>339</v>
      </c>
      <c r="G6" s="376"/>
    </row>
    <row customHeight="true" ht="67" r="7">
      <c r="A7" s="361"/>
      <c r="B7" s="368"/>
      <c r="C7" s="369" t="s">
        <v>340</v>
      </c>
      <c r="D7" s="370">
        <v>5</v>
      </c>
      <c r="E7" s="371" t="s">
        <v>341</v>
      </c>
      <c r="F7" s="372">
        <v>5.11</v>
      </c>
      <c r="G7" s="376"/>
      <c r="H7" s="361"/>
    </row>
    <row customHeight="true" ht="51" r="8">
      <c r="A8" s="361"/>
      <c r="B8" s="368"/>
      <c r="C8" s="369"/>
      <c r="D8" s="374">
        <v>6</v>
      </c>
      <c r="E8" s="371" t="s">
        <v>342</v>
      </c>
      <c r="F8" s="372" t="s">
        <v>343</v>
      </c>
      <c r="G8" s="376"/>
      <c r="H8" s="361"/>
    </row>
    <row customHeight="true" ht="39" r="9">
      <c r="A9" s="361"/>
      <c r="B9" s="368"/>
      <c r="C9" s="369" t="s">
        <v>344</v>
      </c>
      <c r="D9" s="370">
        <v>7</v>
      </c>
      <c r="E9" s="371" t="s">
        <v>345</v>
      </c>
      <c r="F9" s="372"/>
      <c r="G9" s="376" t="s">
        <v>346</v>
      </c>
      <c r="H9" s="361"/>
    </row>
    <row customHeight="true" ht="38" r="10">
      <c r="A10" s="361"/>
      <c r="B10" s="368"/>
      <c r="C10" s="369"/>
      <c r="D10" s="374">
        <v>8</v>
      </c>
      <c r="E10" s="371" t="s">
        <v>347</v>
      </c>
      <c r="F10" s="372"/>
      <c r="G10" s="376"/>
      <c r="H10" s="361"/>
    </row>
    <row customHeight="true" ht="38" r="11">
      <c r="A11" s="361"/>
      <c r="B11" s="368"/>
      <c r="C11" s="369"/>
      <c r="D11" s="370">
        <v>9</v>
      </c>
      <c r="E11" s="371" t="s">
        <v>348</v>
      </c>
      <c r="F11" s="372"/>
      <c r="G11" s="376"/>
      <c r="H11" s="361"/>
    </row>
    <row customHeight="true" ht="38" r="12">
      <c r="A12" s="361"/>
      <c r="B12" s="368"/>
      <c r="C12" s="369"/>
      <c r="D12" s="374">
        <v>10</v>
      </c>
      <c r="E12" s="371" t="s">
        <v>349</v>
      </c>
      <c r="F12" s="372"/>
      <c r="G12" s="376"/>
      <c r="H12" s="361"/>
    </row>
    <row r="13">
      <c r="A13" s="361"/>
      <c r="B13" s="368"/>
      <c r="C13" s="369" t="s">
        <v>350</v>
      </c>
      <c r="D13" s="370">
        <v>11</v>
      </c>
      <c r="E13" s="371" t="s">
        <v>351</v>
      </c>
      <c r="F13" s="372">
        <v>20.11</v>
      </c>
      <c r="G13" s="373"/>
      <c r="H13" s="361"/>
    </row>
    <row customHeight="true" ht="71" r="14">
      <c r="A14" s="361"/>
      <c r="B14" s="368"/>
      <c r="C14" s="369"/>
      <c r="D14" s="374">
        <v>12</v>
      </c>
      <c r="E14" s="371" t="s">
        <v>352</v>
      </c>
      <c r="F14" s="372" t="s">
        <v>353</v>
      </c>
      <c r="G14" s="373"/>
      <c r="H14" s="361"/>
    </row>
    <row customHeight="true" ht="27" r="15">
      <c r="A15" s="361"/>
      <c r="B15" s="368"/>
      <c r="C15" s="369" t="s">
        <v>354</v>
      </c>
      <c r="D15" s="370">
        <v>13</v>
      </c>
      <c r="E15" s="371" t="s">
        <v>355</v>
      </c>
      <c r="F15" s="372" t="s">
        <v>332</v>
      </c>
      <c r="G15" s="373"/>
      <c r="H15" s="361"/>
    </row>
    <row customHeight="true" ht="29" r="16">
      <c r="A16" s="361"/>
      <c r="B16" s="368"/>
      <c r="C16" s="369"/>
      <c r="D16" s="374">
        <v>14</v>
      </c>
      <c r="E16" s="371" t="s">
        <v>356</v>
      </c>
      <c r="F16" s="372" t="s">
        <v>357</v>
      </c>
      <c r="G16" s="373"/>
      <c r="H16" s="361"/>
    </row>
    <row r="17">
      <c r="B17" s="360"/>
      <c r="C17" s="360"/>
      <c r="D17" s="361"/>
      <c r="E17" s="361"/>
      <c r="G17" s="362"/>
    </row>
    <row r="18">
      <c r="B18" s="360"/>
      <c r="C18" s="360"/>
      <c r="G18" s="362"/>
    </row>
    <row r="19">
      <c r="B19" s="360"/>
      <c r="C19" s="360"/>
      <c r="G19" s="362"/>
    </row>
    <row r="20">
      <c r="B20" s="360"/>
      <c r="C20" s="360"/>
      <c r="G20" s="362"/>
    </row>
    <row r="21">
      <c r="B21" s="360"/>
      <c r="C21" s="360"/>
      <c r="G21" s="362"/>
    </row>
    <row r="22">
      <c r="B22" s="360"/>
      <c r="C22" s="360"/>
      <c r="G22" s="362"/>
    </row>
    <row r="23">
      <c r="B23" s="360"/>
      <c r="C23" s="360"/>
      <c r="G23" s="362"/>
    </row>
    <row r="24">
      <c r="B24" s="360"/>
      <c r="C24" s="360"/>
      <c r="G24" s="362"/>
    </row>
    <row r="25">
      <c r="B25" s="360"/>
      <c r="C25" s="360"/>
      <c r="G25" s="362"/>
    </row>
    <row r="26">
      <c r="B26" s="360"/>
      <c r="C26" s="360"/>
      <c r="G26" s="362"/>
    </row>
    <row r="27">
      <c r="B27" s="360"/>
      <c r="C27" s="360"/>
      <c r="G27" s="362"/>
    </row>
    <row r="28">
      <c r="B28" s="360"/>
      <c r="C28" s="360"/>
      <c r="G28" s="362"/>
    </row>
    <row r="29">
      <c r="B29" s="360"/>
      <c r="C29" s="360"/>
      <c r="G29" s="362"/>
    </row>
    <row r="30">
      <c r="B30" s="360"/>
      <c r="C30" s="360"/>
      <c r="G30" s="362"/>
    </row>
    <row r="31">
      <c r="B31" s="360"/>
      <c r="C31" s="360"/>
      <c r="G31" s="362"/>
    </row>
    <row r="32">
      <c r="B32" s="360"/>
      <c r="C32" s="360"/>
      <c r="G32" s="362"/>
    </row>
    <row r="33">
      <c r="B33" s="360"/>
      <c r="C33" s="360"/>
      <c r="G33" s="362"/>
    </row>
    <row r="34">
      <c r="B34" s="360"/>
      <c r="C34" s="360"/>
      <c r="G34" s="362"/>
    </row>
    <row r="35">
      <c r="B35" s="360"/>
      <c r="C35" s="360"/>
      <c r="G35" s="362"/>
    </row>
    <row r="36">
      <c r="B36" s="360"/>
      <c r="C36" s="360"/>
      <c r="G36" s="362"/>
    </row>
    <row r="37">
      <c r="B37" s="360"/>
      <c r="C37" s="360"/>
      <c r="G37" s="362"/>
    </row>
    <row r="38">
      <c r="B38" s="360"/>
      <c r="C38" s="360"/>
      <c r="G38" s="362"/>
    </row>
    <row r="39">
      <c r="B39" s="360"/>
      <c r="C39" s="360"/>
      <c r="G39" s="362"/>
    </row>
    <row r="40">
      <c r="B40" s="360"/>
      <c r="C40" s="360"/>
      <c r="G40" s="362"/>
    </row>
    <row r="41">
      <c r="B41" s="360"/>
      <c r="C41" s="360"/>
      <c r="G41" s="362"/>
    </row>
    <row r="42">
      <c r="B42" s="360"/>
      <c r="C42" s="360"/>
      <c r="G42" s="362"/>
    </row>
    <row r="43">
      <c r="B43" s="360"/>
      <c r="C43" s="360"/>
      <c r="G43" s="362"/>
    </row>
    <row r="44">
      <c r="B44" s="360"/>
      <c r="C44" s="360"/>
      <c r="G44" s="362"/>
    </row>
    <row r="45">
      <c r="B45" s="360"/>
      <c r="C45" s="360"/>
      <c r="G45" s="362"/>
    </row>
    <row r="46">
      <c r="B46" s="360"/>
      <c r="C46" s="360"/>
      <c r="G46" s="362"/>
    </row>
    <row r="47">
      <c r="B47" s="360"/>
      <c r="C47" s="360"/>
      <c r="G47" s="362"/>
    </row>
    <row r="48">
      <c r="B48" s="360"/>
      <c r="C48" s="360"/>
      <c r="G48" s="362"/>
    </row>
    <row r="49">
      <c r="B49" s="360"/>
      <c r="C49" s="360"/>
      <c r="G49" s="362"/>
    </row>
    <row r="50">
      <c r="B50" s="360"/>
      <c r="C50" s="360"/>
      <c r="G50" s="362"/>
    </row>
    <row r="51">
      <c r="B51" s="360"/>
      <c r="C51" s="360"/>
      <c r="G51" s="362"/>
    </row>
    <row r="52">
      <c r="B52" s="360"/>
      <c r="C52" s="360"/>
      <c r="G52" s="362"/>
    </row>
    <row r="53">
      <c r="B53" s="360"/>
      <c r="C53" s="360"/>
      <c r="G53" s="362"/>
    </row>
    <row r="54">
      <c r="B54" s="360"/>
      <c r="C54" s="360"/>
      <c r="G54" s="362"/>
    </row>
    <row r="55">
      <c r="B55" s="360"/>
      <c r="C55" s="360"/>
      <c r="G55" s="362"/>
    </row>
    <row r="56">
      <c r="B56" s="360"/>
      <c r="C56" s="360"/>
      <c r="G56" s="362"/>
    </row>
    <row r="57">
      <c r="B57" s="360"/>
      <c r="C57" s="360"/>
      <c r="G57" s="362"/>
    </row>
    <row r="58">
      <c r="B58" s="360"/>
      <c r="C58" s="360"/>
      <c r="G58" s="362"/>
    </row>
    <row r="59">
      <c r="B59" s="360"/>
      <c r="C59" s="360"/>
      <c r="G59" s="362"/>
    </row>
    <row r="60">
      <c r="B60" s="360"/>
      <c r="C60" s="360"/>
      <c r="G60" s="362"/>
    </row>
    <row r="61">
      <c r="B61" s="360"/>
      <c r="C61" s="360"/>
      <c r="G61" s="362"/>
    </row>
    <row r="62">
      <c r="B62" s="360"/>
      <c r="C62" s="360"/>
      <c r="G62" s="362"/>
    </row>
    <row r="63">
      <c r="B63" s="360"/>
      <c r="C63" s="360"/>
      <c r="G63" s="362"/>
    </row>
    <row r="64">
      <c r="B64" s="360"/>
      <c r="C64" s="360"/>
      <c r="G64" s="362"/>
    </row>
    <row r="65">
      <c r="B65" s="360"/>
      <c r="C65" s="360"/>
      <c r="G65" s="362"/>
    </row>
    <row r="66">
      <c r="B66" s="360"/>
      <c r="C66" s="360"/>
      <c r="G66" s="362"/>
    </row>
    <row r="67">
      <c r="B67" s="360"/>
      <c r="C67" s="360"/>
      <c r="G67" s="362"/>
    </row>
    <row r="68">
      <c r="B68" s="360"/>
      <c r="C68" s="360"/>
      <c r="G68" s="362"/>
    </row>
    <row r="69">
      <c r="B69" s="360"/>
      <c r="C69" s="360"/>
      <c r="G69" s="362"/>
    </row>
    <row r="70">
      <c r="B70" s="360"/>
      <c r="C70" s="360"/>
      <c r="G70" s="362"/>
    </row>
    <row r="71">
      <c r="B71" s="360"/>
      <c r="C71" s="360"/>
      <c r="G71" s="362"/>
    </row>
    <row r="72">
      <c r="B72" s="360"/>
      <c r="C72" s="360"/>
      <c r="G72" s="362"/>
    </row>
    <row r="73">
      <c r="B73" s="360"/>
      <c r="C73" s="360"/>
      <c r="G73" s="362"/>
    </row>
    <row r="74">
      <c r="B74" s="360"/>
      <c r="C74" s="360"/>
      <c r="G74" s="362"/>
    </row>
    <row r="75">
      <c r="B75" s="360"/>
      <c r="C75" s="360"/>
      <c r="G75" s="362"/>
    </row>
    <row r="76">
      <c r="B76" s="360"/>
      <c r="C76" s="360"/>
      <c r="G76" s="362"/>
    </row>
    <row r="77">
      <c r="B77" s="360"/>
      <c r="C77" s="360"/>
      <c r="G77" s="362"/>
    </row>
    <row r="78">
      <c r="B78" s="360"/>
      <c r="C78" s="360"/>
      <c r="G78" s="362"/>
    </row>
    <row r="79">
      <c r="B79" s="360"/>
      <c r="C79" s="360"/>
      <c r="G79" s="362"/>
    </row>
    <row r="80">
      <c r="B80" s="360"/>
      <c r="C80" s="360"/>
      <c r="G80" s="362"/>
    </row>
    <row r="81">
      <c r="B81" s="360"/>
      <c r="C81" s="360"/>
      <c r="G81" s="362"/>
    </row>
    <row r="82">
      <c r="B82" s="360"/>
      <c r="C82" s="360"/>
      <c r="G82" s="362"/>
    </row>
    <row r="83">
      <c r="B83" s="360"/>
      <c r="C83" s="360"/>
      <c r="G83" s="362"/>
    </row>
    <row r="84">
      <c r="B84" s="360"/>
      <c r="C84" s="360"/>
      <c r="G84" s="362"/>
    </row>
    <row r="85">
      <c r="B85" s="360"/>
      <c r="C85" s="360"/>
      <c r="G85" s="362"/>
    </row>
    <row r="86">
      <c r="B86" s="360"/>
      <c r="C86" s="360"/>
      <c r="G86" s="362"/>
    </row>
    <row r="87">
      <c r="B87" s="360"/>
      <c r="C87" s="360"/>
      <c r="G87" s="362"/>
    </row>
    <row r="88">
      <c r="B88" s="360"/>
      <c r="C88" s="360"/>
      <c r="G88" s="362"/>
    </row>
    <row r="89">
      <c r="B89" s="360"/>
      <c r="C89" s="360"/>
      <c r="G89" s="362"/>
    </row>
    <row r="90">
      <c r="B90" s="360"/>
      <c r="C90" s="360"/>
      <c r="G90" s="362"/>
    </row>
    <row r="91">
      <c r="B91" s="360"/>
      <c r="C91" s="360"/>
      <c r="G91" s="362"/>
    </row>
    <row r="92">
      <c r="B92" s="360"/>
      <c r="C92" s="360"/>
      <c r="G92" s="362"/>
    </row>
    <row r="93">
      <c r="B93" s="360"/>
      <c r="C93" s="360"/>
      <c r="G93" s="362"/>
    </row>
    <row r="94">
      <c r="B94" s="360"/>
      <c r="C94" s="360"/>
      <c r="G94" s="362"/>
    </row>
    <row r="95">
      <c r="B95" s="360"/>
      <c r="C95" s="360"/>
      <c r="G95" s="362"/>
    </row>
    <row r="96">
      <c r="B96" s="360"/>
      <c r="C96" s="360"/>
      <c r="G96" s="362"/>
    </row>
    <row r="97">
      <c r="B97" s="360"/>
      <c r="C97" s="360"/>
      <c r="G97" s="362"/>
    </row>
    <row r="98">
      <c r="B98" s="360"/>
      <c r="C98" s="360"/>
      <c r="G98" s="362"/>
    </row>
    <row r="99">
      <c r="B99" s="360"/>
      <c r="C99" s="360"/>
      <c r="G99" s="362"/>
    </row>
    <row r="100">
      <c r="B100" s="360"/>
      <c r="C100" s="360"/>
      <c r="G100" s="362"/>
    </row>
    <row r="101">
      <c r="B101" s="360"/>
      <c r="C101" s="360"/>
      <c r="G101" s="362"/>
    </row>
    <row r="102">
      <c r="B102" s="360"/>
      <c r="C102" s="360"/>
      <c r="G102" s="362"/>
    </row>
    <row r="103">
      <c r="B103" s="360"/>
      <c r="C103" s="360"/>
      <c r="G103" s="362"/>
    </row>
    <row r="104">
      <c r="B104" s="360"/>
      <c r="C104" s="360"/>
      <c r="G104" s="362"/>
    </row>
    <row r="105">
      <c r="B105" s="360"/>
      <c r="C105" s="360"/>
      <c r="G105" s="362"/>
    </row>
    <row r="106">
      <c r="B106" s="360"/>
      <c r="C106" s="360"/>
      <c r="G106" s="362"/>
    </row>
    <row r="107">
      <c r="B107" s="360"/>
      <c r="C107" s="360"/>
      <c r="G107" s="362"/>
    </row>
    <row r="108">
      <c r="B108" s="360"/>
      <c r="C108" s="360"/>
      <c r="G108" s="362"/>
    </row>
    <row r="109">
      <c r="B109" s="360"/>
      <c r="C109" s="360"/>
      <c r="G109" s="362"/>
    </row>
    <row r="110">
      <c r="B110" s="360"/>
      <c r="C110" s="360"/>
      <c r="G110" s="362"/>
    </row>
    <row r="111">
      <c r="B111" s="360"/>
      <c r="C111" s="360"/>
      <c r="G111" s="362"/>
    </row>
    <row r="112">
      <c r="B112" s="360"/>
      <c r="C112" s="360"/>
      <c r="G112" s="362"/>
    </row>
    <row r="113">
      <c r="B113" s="360"/>
      <c r="C113" s="360"/>
      <c r="G113" s="362"/>
    </row>
    <row r="114">
      <c r="B114" s="360"/>
      <c r="C114" s="360"/>
      <c r="G114" s="362"/>
    </row>
    <row r="115">
      <c r="B115" s="360"/>
      <c r="C115" s="360"/>
      <c r="G115" s="362"/>
    </row>
    <row r="116">
      <c r="B116" s="360"/>
      <c r="C116" s="360"/>
      <c r="G116" s="362"/>
    </row>
    <row r="117">
      <c r="B117" s="360"/>
      <c r="C117" s="360"/>
      <c r="G117" s="362"/>
    </row>
    <row r="118">
      <c r="B118" s="360"/>
      <c r="C118" s="360"/>
      <c r="G118" s="362"/>
    </row>
    <row r="119">
      <c r="B119" s="360"/>
      <c r="C119" s="360"/>
      <c r="G119" s="362"/>
    </row>
    <row r="120">
      <c r="B120" s="360"/>
      <c r="C120" s="360"/>
      <c r="G120" s="362"/>
    </row>
    <row r="121">
      <c r="B121" s="360"/>
      <c r="C121" s="360"/>
      <c r="G121" s="362"/>
    </row>
    <row r="122">
      <c r="B122" s="360"/>
      <c r="C122" s="360"/>
      <c r="G122" s="362"/>
    </row>
    <row r="123">
      <c r="B123" s="360"/>
      <c r="C123" s="360"/>
      <c r="G123" s="362"/>
    </row>
    <row r="124">
      <c r="B124" s="360"/>
      <c r="C124" s="360"/>
      <c r="G124" s="362"/>
    </row>
    <row r="125">
      <c r="B125" s="360"/>
      <c r="C125" s="360"/>
      <c r="G125" s="362"/>
    </row>
    <row r="126">
      <c r="B126" s="360"/>
      <c r="C126" s="360"/>
      <c r="G126" s="362"/>
    </row>
    <row r="127">
      <c r="B127" s="360"/>
      <c r="C127" s="360"/>
      <c r="G127" s="362"/>
    </row>
    <row r="128">
      <c r="B128" s="360"/>
      <c r="C128" s="360"/>
      <c r="G128" s="362"/>
    </row>
    <row r="129">
      <c r="B129" s="360"/>
      <c r="C129" s="360"/>
      <c r="G129" s="362"/>
    </row>
    <row r="130">
      <c r="B130" s="360"/>
      <c r="C130" s="360"/>
      <c r="G130" s="362"/>
    </row>
    <row r="131">
      <c r="B131" s="360"/>
      <c r="C131" s="360"/>
      <c r="G131" s="362"/>
    </row>
    <row r="132">
      <c r="B132" s="360"/>
      <c r="C132" s="360"/>
      <c r="G132" s="362"/>
    </row>
    <row r="133">
      <c r="B133" s="360"/>
      <c r="C133" s="360"/>
      <c r="G133" s="362"/>
    </row>
    <row r="134">
      <c r="B134" s="360"/>
      <c r="C134" s="360"/>
      <c r="G134" s="362"/>
    </row>
    <row r="135">
      <c r="B135" s="360"/>
      <c r="C135" s="360"/>
      <c r="G135" s="362"/>
    </row>
    <row r="136">
      <c r="B136" s="360"/>
      <c r="C136" s="360"/>
      <c r="G136" s="362"/>
    </row>
    <row r="137">
      <c r="B137" s="360"/>
      <c r="C137" s="360"/>
      <c r="G137" s="362"/>
    </row>
    <row r="138">
      <c r="B138" s="360"/>
      <c r="C138" s="360"/>
      <c r="G138" s="362"/>
    </row>
    <row r="139">
      <c r="B139" s="360"/>
      <c r="C139" s="360"/>
      <c r="G139" s="362"/>
    </row>
    <row r="140">
      <c r="B140" s="360"/>
      <c r="C140" s="360"/>
      <c r="G140" s="362"/>
    </row>
    <row r="141">
      <c r="B141" s="360"/>
      <c r="C141" s="360"/>
      <c r="G141" s="362"/>
    </row>
    <row r="142">
      <c r="B142" s="360"/>
      <c r="C142" s="360"/>
      <c r="G142" s="362"/>
    </row>
    <row r="143">
      <c r="B143" s="360"/>
      <c r="C143" s="360"/>
      <c r="G143" s="362"/>
    </row>
    <row r="144">
      <c r="B144" s="360"/>
      <c r="C144" s="360"/>
      <c r="G144" s="362"/>
    </row>
    <row r="145">
      <c r="B145" s="360"/>
      <c r="C145" s="360"/>
      <c r="G145" s="362"/>
    </row>
    <row r="146">
      <c r="B146" s="360"/>
      <c r="C146" s="360"/>
      <c r="G146" s="362"/>
    </row>
    <row r="147">
      <c r="B147" s="360"/>
      <c r="C147" s="360"/>
      <c r="G147" s="362"/>
    </row>
    <row r="148">
      <c r="B148" s="360"/>
      <c r="C148" s="360"/>
      <c r="G148" s="362"/>
    </row>
    <row r="149">
      <c r="B149" s="360"/>
      <c r="C149" s="360"/>
      <c r="G149" s="362"/>
    </row>
    <row r="150">
      <c r="B150" s="360"/>
      <c r="C150" s="360"/>
      <c r="G150" s="362"/>
    </row>
    <row r="151">
      <c r="B151" s="360"/>
      <c r="C151" s="360"/>
      <c r="G151" s="362"/>
    </row>
    <row r="152">
      <c r="B152" s="360"/>
      <c r="C152" s="360"/>
      <c r="G152" s="362"/>
    </row>
    <row r="153">
      <c r="B153" s="360"/>
      <c r="C153" s="360"/>
      <c r="G153" s="362"/>
    </row>
    <row r="154">
      <c r="B154" s="360"/>
      <c r="C154" s="360"/>
      <c r="G154" s="362"/>
    </row>
    <row r="155">
      <c r="B155" s="360"/>
      <c r="C155" s="360"/>
      <c r="G155" s="362"/>
    </row>
    <row r="156">
      <c r="B156" s="360"/>
      <c r="C156" s="360"/>
      <c r="G156" s="362"/>
    </row>
    <row r="157">
      <c r="B157" s="360"/>
      <c r="C157" s="360"/>
      <c r="G157" s="362"/>
    </row>
    <row r="158">
      <c r="B158" s="360"/>
      <c r="C158" s="360"/>
      <c r="G158" s="362"/>
    </row>
    <row r="159">
      <c r="B159" s="360"/>
      <c r="C159" s="360"/>
      <c r="G159" s="362"/>
    </row>
    <row r="160">
      <c r="B160" s="360"/>
      <c r="C160" s="360"/>
      <c r="G160" s="362"/>
    </row>
    <row r="161">
      <c r="B161" s="360"/>
      <c r="C161" s="360"/>
      <c r="G161" s="362"/>
    </row>
    <row r="162">
      <c r="B162" s="360"/>
      <c r="C162" s="360"/>
      <c r="G162" s="362"/>
    </row>
    <row r="163">
      <c r="B163" s="360"/>
      <c r="C163" s="360"/>
      <c r="G163" s="362"/>
    </row>
    <row r="164">
      <c r="B164" s="360"/>
      <c r="C164" s="360"/>
      <c r="G164" s="362"/>
    </row>
    <row r="165">
      <c r="B165" s="360"/>
      <c r="C165" s="360"/>
      <c r="G165" s="362"/>
    </row>
    <row r="166">
      <c r="B166" s="360"/>
      <c r="C166" s="360"/>
      <c r="G166" s="362"/>
    </row>
    <row r="167">
      <c r="B167" s="360"/>
      <c r="C167" s="360"/>
      <c r="G167" s="362"/>
    </row>
    <row r="168">
      <c r="B168" s="360"/>
      <c r="C168" s="360"/>
      <c r="G168" s="362"/>
    </row>
    <row r="169">
      <c r="B169" s="360"/>
      <c r="C169" s="360"/>
      <c r="G169" s="362"/>
    </row>
    <row r="170">
      <c r="B170" s="360"/>
      <c r="C170" s="360"/>
      <c r="G170" s="362"/>
    </row>
    <row r="171">
      <c r="B171" s="360"/>
      <c r="C171" s="360"/>
      <c r="G171" s="362"/>
    </row>
    <row r="172">
      <c r="B172" s="360"/>
      <c r="C172" s="360"/>
      <c r="G172" s="362"/>
    </row>
    <row r="173">
      <c r="B173" s="360"/>
      <c r="C173" s="360"/>
      <c r="G173" s="362"/>
    </row>
    <row r="174">
      <c r="B174" s="360"/>
      <c r="C174" s="360"/>
      <c r="G174" s="362"/>
    </row>
    <row r="175">
      <c r="B175" s="360"/>
      <c r="C175" s="360"/>
      <c r="G175" s="362"/>
    </row>
    <row r="176">
      <c r="B176" s="360"/>
      <c r="C176" s="360"/>
      <c r="G176" s="362"/>
    </row>
    <row r="177">
      <c r="B177" s="360"/>
      <c r="C177" s="360"/>
      <c r="G177" s="362"/>
    </row>
    <row r="178">
      <c r="B178" s="360"/>
      <c r="C178" s="360"/>
      <c r="G178" s="362"/>
    </row>
    <row r="179">
      <c r="B179" s="360"/>
      <c r="C179" s="360"/>
      <c r="G179" s="362"/>
    </row>
    <row r="180">
      <c r="B180" s="360"/>
      <c r="C180" s="360"/>
      <c r="G180" s="362"/>
    </row>
    <row r="181">
      <c r="B181" s="360"/>
      <c r="C181" s="360"/>
      <c r="G181" s="362"/>
    </row>
    <row r="182">
      <c r="B182" s="360"/>
      <c r="C182" s="360"/>
      <c r="G182" s="362"/>
    </row>
    <row r="183">
      <c r="B183" s="360"/>
      <c r="C183" s="360"/>
      <c r="G183" s="362"/>
    </row>
    <row r="184">
      <c r="B184" s="360"/>
      <c r="C184" s="360"/>
      <c r="G184" s="362"/>
    </row>
    <row r="185">
      <c r="B185" s="360"/>
      <c r="C185" s="360"/>
      <c r="G185" s="362"/>
    </row>
    <row r="186">
      <c r="B186" s="360"/>
      <c r="C186" s="360"/>
      <c r="G186" s="362"/>
    </row>
    <row r="187">
      <c r="B187" s="360"/>
      <c r="C187" s="360"/>
      <c r="G187" s="362"/>
    </row>
    <row r="188">
      <c r="B188" s="360"/>
      <c r="C188" s="360"/>
      <c r="G188" s="362"/>
    </row>
  </sheetData>
  <mergeCells>
    <mergeCell ref="C3:C4"/>
    <mergeCell ref="C7:C8"/>
    <mergeCell ref="C13:C14"/>
    <mergeCell ref="C9:C12"/>
    <mergeCell ref="B3:B16"/>
    <mergeCell ref="C15:C16"/>
    <mergeCell ref="C5:C6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26"/>
    <col collapsed="false" customWidth="true" hidden="false" max="3" min="3" style="0" width="26"/>
    <col collapsed="false" customWidth="true" hidden="false" max="4" min="4" style="0" width="26"/>
  </cols>
  <sheetData>
    <row r="1"/>
    <row r="2">
      <c r="B2" s="377" t="s">
        <v>358</v>
      </c>
      <c r="C2" s="377"/>
      <c r="D2" s="377"/>
    </row>
    <row r="3">
      <c r="B3" s="378" t="s">
        <v>359</v>
      </c>
      <c r="C3" s="378" t="s">
        <v>360</v>
      </c>
      <c r="D3" s="378" t="s">
        <v>361</v>
      </c>
    </row>
    <row r="4">
      <c r="A4" s="379"/>
      <c r="B4" s="380" t="s">
        <v>362</v>
      </c>
      <c r="C4" s="380"/>
      <c r="D4" s="380"/>
      <c r="E4" s="379"/>
    </row>
    <row r="5">
      <c r="B5" s="381" t="s">
        <v>363</v>
      </c>
      <c r="C5" s="382"/>
      <c r="D5" s="382"/>
    </row>
    <row r="6">
      <c r="A6" s="383"/>
      <c r="B6" s="384" t="s">
        <v>364</v>
      </c>
      <c r="C6" s="384" t="s">
        <v>365</v>
      </c>
      <c r="D6" s="384" t="s">
        <v>366</v>
      </c>
      <c r="E6" s="383"/>
      <c r="F6" s="383"/>
      <c r="G6" s="383"/>
      <c r="H6" s="383"/>
      <c r="I6" s="383"/>
      <c r="J6" s="383"/>
      <c r="K6" s="383"/>
      <c r="L6" s="383"/>
      <c r="M6" s="383"/>
      <c r="N6" s="383"/>
      <c r="O6" s="383"/>
      <c r="P6" s="383"/>
      <c r="Q6" s="383"/>
      <c r="R6" s="383"/>
      <c r="S6" s="383"/>
      <c r="T6" s="383"/>
    </row>
    <row r="7">
      <c r="B7" s="385" t="s">
        <v>367</v>
      </c>
      <c r="C7" s="386" t="s">
        <v>368</v>
      </c>
      <c r="D7" s="386" t="s">
        <v>369</v>
      </c>
    </row>
    <row r="8">
      <c r="B8" s="385" t="s">
        <v>370</v>
      </c>
      <c r="C8" s="387"/>
      <c r="D8" s="387"/>
    </row>
    <row r="9">
      <c r="B9" s="385" t="s">
        <v>371</v>
      </c>
      <c r="C9" s="387"/>
      <c r="D9" s="387"/>
    </row>
    <row r="10">
      <c r="B10" s="387"/>
      <c r="C10" s="387"/>
      <c r="D10" s="387"/>
    </row>
    <row r="11">
      <c r="B11" s="387"/>
      <c r="C11" s="387"/>
      <c r="D11" s="387"/>
    </row>
  </sheetData>
  <mergeCells>
    <mergeCell ref="B4:D4"/>
    <mergeCell ref="B2:D2"/>
    <mergeCell ref="B5:D5"/>
  </mergeCells>
  <hyperlinks>
    <hyperlink ref="B5" display="https://www.facebook.com/gapinc.vn/videos/503075825681166/?mibextid=O563ZM&amp;rdid=RNRzzNsmAAnMg2Rl" r:id="rId1"/>
  </hyperlink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2" min="2" style="0" width="17"/>
    <col collapsed="false" customWidth="true" hidden="false" max="3" min="3" style="0" width="7"/>
    <col collapsed="false" customWidth="true" hidden="false" max="4" min="4" style="0" width="45"/>
    <col collapsed="false" customWidth="true" hidden="false" max="5" min="5" style="0" width="47"/>
    <col collapsed="false" customWidth="true" hidden="false" max="1" min="1" style="0" width="4"/>
  </cols>
  <sheetData>
    <row customHeight="true" ht="19" r="1"/>
    <row customHeight="true" ht="19" r="2">
      <c r="B2" s="388" t="s">
        <v>372</v>
      </c>
      <c r="C2" s="388"/>
      <c r="D2" s="388"/>
      <c r="E2" s="388"/>
    </row>
    <row customHeight="true" ht="19" r="3">
      <c r="A3" s="389"/>
      <c r="B3" s="390" t="s">
        <v>373</v>
      </c>
      <c r="C3" s="390"/>
      <c r="D3" s="390"/>
      <c r="E3" s="390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</row>
    <row customHeight="true" ht="36" r="4">
      <c r="A4" s="389"/>
      <c r="B4" s="391" t="s">
        <v>374</v>
      </c>
      <c r="C4" s="392">
        <v>1</v>
      </c>
      <c r="D4" s="392" t="s">
        <v>375</v>
      </c>
      <c r="E4" s="391" t="s">
        <v>376</v>
      </c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  <c r="Q4" s="389"/>
      <c r="R4" s="389"/>
      <c r="S4" s="389"/>
      <c r="T4" s="389"/>
    </row>
    <row customHeight="true" ht="37" r="5">
      <c r="A5" s="389"/>
      <c r="B5" s="391"/>
      <c r="C5" s="392">
        <v>2</v>
      </c>
      <c r="D5" s="392" t="s">
        <v>377</v>
      </c>
      <c r="E5" s="393" t="s">
        <v>378</v>
      </c>
      <c r="F5" s="389"/>
      <c r="G5" s="389"/>
      <c r="H5" s="389"/>
      <c r="I5" s="389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</row>
    <row customHeight="true" ht="19" r="6">
      <c r="A6" s="389"/>
      <c r="B6" s="390" t="s">
        <v>379</v>
      </c>
      <c r="C6" s="390"/>
      <c r="D6" s="390"/>
      <c r="E6" s="390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  <c r="Q6" s="389"/>
      <c r="R6" s="389"/>
      <c r="S6" s="389"/>
      <c r="T6" s="389"/>
    </row>
    <row customHeight="true" ht="19" r="7">
      <c r="B7" s="394" t="s">
        <v>380</v>
      </c>
      <c r="C7" s="395" t="s">
        <v>381</v>
      </c>
      <c r="D7" s="396" t="s">
        <v>382</v>
      </c>
      <c r="E7" s="397" t="s">
        <v>383</v>
      </c>
    </row>
    <row customHeight="true" ht="20" r="8">
      <c r="A8" s="398"/>
      <c r="B8" s="399" t="s">
        <v>384</v>
      </c>
      <c r="C8" s="399"/>
      <c r="D8" s="399"/>
      <c r="E8" s="399"/>
      <c r="F8" s="398"/>
    </row>
    <row r="9">
      <c r="B9" s="400" t="s">
        <v>385</v>
      </c>
      <c r="C9" s="401">
        <v>1</v>
      </c>
      <c r="D9" s="402" t="s">
        <v>386</v>
      </c>
      <c r="E9" s="403" t="s">
        <v>387</v>
      </c>
    </row>
    <row r="10">
      <c r="A10" s="404"/>
      <c r="B10" s="400"/>
      <c r="C10" s="405">
        <v>2</v>
      </c>
      <c r="D10" s="406" t="s">
        <v>388</v>
      </c>
      <c r="E10" s="407"/>
      <c r="F10" s="404"/>
      <c r="G10" s="404"/>
      <c r="H10" s="404"/>
      <c r="I10" s="404"/>
      <c r="J10" s="404"/>
      <c r="K10" s="404"/>
      <c r="L10" s="404"/>
      <c r="M10" s="404"/>
      <c r="N10" s="404"/>
      <c r="O10" s="404"/>
      <c r="P10" s="404"/>
      <c r="Q10" s="404"/>
      <c r="R10" s="404"/>
      <c r="S10" s="404"/>
      <c r="T10" s="404"/>
    </row>
    <row r="11">
      <c r="B11" s="400"/>
      <c r="C11" s="405">
        <v>3</v>
      </c>
      <c r="D11" s="406" t="s">
        <v>389</v>
      </c>
      <c r="E11" s="407"/>
    </row>
    <row r="12">
      <c r="B12" s="400" t="s">
        <v>390</v>
      </c>
      <c r="C12" s="408">
        <v>1</v>
      </c>
      <c r="D12" s="406" t="s">
        <v>391</v>
      </c>
      <c r="E12" s="409" t="s">
        <v>392</v>
      </c>
    </row>
    <row r="13">
      <c r="B13" s="400"/>
      <c r="C13" s="410">
        <v>2</v>
      </c>
      <c r="D13" s="411" t="s">
        <v>393</v>
      </c>
      <c r="E13" s="412" t="s">
        <v>394</v>
      </c>
    </row>
    <row r="14">
      <c r="B14" s="400"/>
      <c r="C14" s="410">
        <v>3</v>
      </c>
      <c r="D14" s="413" t="s">
        <v>395</v>
      </c>
      <c r="E14" s="414"/>
    </row>
    <row r="15">
      <c r="B15" s="400"/>
      <c r="C15" s="410">
        <v>4</v>
      </c>
      <c r="D15" s="413"/>
      <c r="E15" s="414"/>
    </row>
    <row r="16">
      <c r="B16" s="400" t="s">
        <v>396</v>
      </c>
      <c r="C16" s="415">
        <v>1</v>
      </c>
      <c r="D16" s="416"/>
      <c r="E16" s="414"/>
    </row>
    <row r="17">
      <c r="B17" s="417"/>
      <c r="C17" s="418">
        <v>2</v>
      </c>
      <c r="D17" s="419"/>
      <c r="E17" s="420"/>
    </row>
    <row r="18">
      <c r="B18" s="421"/>
      <c r="C18" s="422">
        <v>1</v>
      </c>
      <c r="D18" s="420"/>
      <c r="E18" s="420"/>
    </row>
    <row r="19">
      <c r="B19" s="399" t="s">
        <v>397</v>
      </c>
      <c r="C19" s="399"/>
      <c r="D19" s="399"/>
      <c r="E19" s="399"/>
    </row>
    <row r="20">
      <c r="B20" s="423"/>
      <c r="C20" s="424">
        <v>3</v>
      </c>
      <c r="D20" s="425"/>
      <c r="E20" s="425"/>
    </row>
    <row r="21">
      <c r="B21" s="426"/>
      <c r="C21" s="424">
        <v>1</v>
      </c>
      <c r="D21" s="425"/>
      <c r="E21" s="425"/>
    </row>
    <row r="22">
      <c r="B22" s="426"/>
      <c r="C22" s="424">
        <v>2</v>
      </c>
      <c r="D22" s="425"/>
      <c r="E22" s="425"/>
    </row>
    <row r="23">
      <c r="B23" s="427"/>
      <c r="C23" s="424">
        <v>3</v>
      </c>
      <c r="D23" s="425"/>
      <c r="E23" s="425"/>
    </row>
    <row r="24">
      <c r="B24" s="428"/>
      <c r="C24" s="424">
        <v>1</v>
      </c>
      <c r="D24" s="425"/>
      <c r="E24" s="425"/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>
      <c r="B203" s="404"/>
    </row>
    <row r="204">
      <c r="B204" s="404"/>
    </row>
    <row r="205">
      <c r="B205" s="404"/>
    </row>
    <row r="206">
      <c r="B206" s="404"/>
    </row>
    <row r="207">
      <c r="B207" s="404"/>
    </row>
    <row r="208">
      <c r="B208" s="404"/>
    </row>
  </sheetData>
  <mergeCells>
    <mergeCell ref="B19:E19"/>
    <mergeCell ref="B8:E8"/>
    <mergeCell ref="B9:B11"/>
    <mergeCell ref="B12:B15"/>
    <mergeCell ref="B6:E6"/>
    <mergeCell ref="B3:E3"/>
    <mergeCell ref="B2:E2"/>
    <mergeCell ref="B4:B5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3"/>
    <col collapsed="false" customWidth="true" hidden="false" max="2" min="2" style="0" width="30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35"/>
  </cols>
  <sheetData>
    <row r="1">
      <c r="B1" s="429"/>
      <c r="C1" s="429"/>
      <c r="D1" s="429"/>
      <c r="E1" s="429"/>
    </row>
    <row customHeight="true" ht="19" r="2">
      <c r="A2" s="430"/>
      <c r="B2" s="431" t="s">
        <v>398</v>
      </c>
      <c r="C2" s="431"/>
      <c r="D2" s="431"/>
      <c r="E2" s="431"/>
      <c r="F2" s="432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</row>
    <row r="3">
      <c r="A3" s="430"/>
      <c r="B3" s="433" t="s">
        <v>399</v>
      </c>
      <c r="C3" s="433"/>
      <c r="D3" s="433"/>
      <c r="E3" s="433"/>
      <c r="F3" s="432"/>
      <c r="G3" s="430"/>
      <c r="H3" s="430"/>
      <c r="I3" s="430"/>
      <c r="J3" s="430"/>
      <c r="K3" s="430"/>
      <c r="L3" s="430"/>
      <c r="M3" s="430"/>
      <c r="N3" s="430"/>
      <c r="O3" s="430"/>
      <c r="P3" s="430"/>
      <c r="Q3" s="430"/>
      <c r="R3" s="430"/>
      <c r="S3" s="430"/>
      <c r="T3" s="430"/>
      <c r="U3" s="430"/>
    </row>
    <row r="4">
      <c r="A4" s="429"/>
      <c r="B4" s="434"/>
      <c r="C4" s="435" t="s">
        <v>400</v>
      </c>
      <c r="D4" s="435" t="s">
        <v>401</v>
      </c>
      <c r="E4" s="435" t="s">
        <v>402</v>
      </c>
      <c r="F4" s="429"/>
    </row>
    <row r="5">
      <c r="A5" s="429"/>
      <c r="B5" s="436" t="s">
        <v>403</v>
      </c>
      <c r="C5" s="437" t="s">
        <v>404</v>
      </c>
      <c r="D5" s="437" t="s">
        <v>405</v>
      </c>
      <c r="E5" s="437" t="s">
        <v>406</v>
      </c>
      <c r="F5" s="429"/>
    </row>
    <row r="6">
      <c r="A6" s="429"/>
      <c r="B6" s="438" t="s">
        <v>407</v>
      </c>
      <c r="C6" s="439"/>
      <c r="D6" s="440" t="s">
        <v>408</v>
      </c>
      <c r="E6" s="440" t="s">
        <v>408</v>
      </c>
      <c r="F6" s="429"/>
    </row>
    <row r="7">
      <c r="A7" s="429"/>
      <c r="B7" s="433" t="s">
        <v>409</v>
      </c>
      <c r="C7" s="441"/>
      <c r="D7" s="441"/>
      <c r="E7" s="441"/>
      <c r="F7" s="429"/>
    </row>
    <row r="8">
      <c r="A8" s="429"/>
      <c r="B8" s="436" t="s">
        <v>410</v>
      </c>
      <c r="C8" s="442" t="s">
        <v>411</v>
      </c>
      <c r="D8" s="442" t="s">
        <v>412</v>
      </c>
      <c r="E8" s="442" t="s">
        <v>413</v>
      </c>
      <c r="F8" s="429"/>
    </row>
    <row r="9">
      <c r="A9" s="429"/>
      <c r="B9" s="436" t="s">
        <v>414</v>
      </c>
      <c r="C9" s="443">
        <v>0.05</v>
      </c>
      <c r="D9" s="443">
        <v>0.08</v>
      </c>
      <c r="E9" s="443">
        <v>0.1</v>
      </c>
      <c r="F9" s="429"/>
    </row>
    <row r="10">
      <c r="A10" s="429"/>
      <c r="B10" s="436" t="s">
        <v>415</v>
      </c>
      <c r="C10" s="442" t="s">
        <v>416</v>
      </c>
      <c r="D10" s="442" t="s">
        <v>416</v>
      </c>
      <c r="E10" s="442" t="s">
        <v>416</v>
      </c>
      <c r="F10" s="429"/>
    </row>
    <row r="11">
      <c r="A11" s="429"/>
      <c r="B11" s="438" t="s">
        <v>417</v>
      </c>
      <c r="C11" s="439"/>
      <c r="D11" s="439"/>
      <c r="E11" s="439"/>
      <c r="F11" s="429"/>
    </row>
    <row customHeight="true" ht="19" r="12">
      <c r="A12" s="429"/>
      <c r="B12" s="438" t="s">
        <v>418</v>
      </c>
      <c r="C12" s="439"/>
      <c r="D12" s="439"/>
      <c r="E12" s="439"/>
      <c r="F12" s="429"/>
    </row>
    <row customHeight="true" ht="19" r="13">
      <c r="A13" s="429"/>
      <c r="B13" s="444" t="s">
        <v>419</v>
      </c>
      <c r="C13" s="444"/>
      <c r="D13" s="444"/>
      <c r="E13" s="444"/>
      <c r="F13" s="429"/>
    </row>
    <row r="14">
      <c r="A14" s="429"/>
      <c r="B14" s="437" t="s">
        <v>420</v>
      </c>
      <c r="C14" s="445"/>
      <c r="D14" s="445"/>
      <c r="E14" s="445"/>
      <c r="F14" s="429"/>
    </row>
    <row r="15">
      <c r="B15" s="429"/>
      <c r="C15" s="429"/>
      <c r="D15" s="429"/>
      <c r="E15" s="429"/>
    </row>
    <row r="16">
      <c r="B16" s="446" t="s">
        <v>421</v>
      </c>
      <c r="C16" s="446"/>
      <c r="D16" s="446"/>
      <c r="E16" s="446"/>
    </row>
    <row r="17">
      <c r="A17" s="429"/>
      <c r="B17" s="434"/>
      <c r="C17" s="434"/>
      <c r="D17" s="434"/>
      <c r="E17" s="434"/>
      <c r="F17" s="429"/>
    </row>
    <row r="18">
      <c r="A18" s="429"/>
      <c r="B18" s="434"/>
      <c r="C18" s="434"/>
      <c r="D18" s="434"/>
      <c r="E18" s="434"/>
      <c r="F18" s="429"/>
    </row>
    <row r="19">
      <c r="A19" s="429"/>
      <c r="B19" s="434"/>
      <c r="C19" s="434"/>
      <c r="D19" s="434"/>
      <c r="E19" s="434"/>
      <c r="F19" s="429"/>
    </row>
    <row r="20">
      <c r="A20" s="429"/>
      <c r="B20" s="434"/>
      <c r="C20" s="434"/>
      <c r="D20" s="434"/>
      <c r="E20" s="434"/>
      <c r="F20" s="429"/>
    </row>
    <row r="21">
      <c r="A21" s="429"/>
      <c r="B21" s="434"/>
      <c r="C21" s="434"/>
      <c r="D21" s="434"/>
      <c r="E21" s="434"/>
      <c r="F21" s="429"/>
    </row>
    <row r="22">
      <c r="A22" s="429"/>
      <c r="B22" s="434"/>
      <c r="C22" s="434"/>
      <c r="D22" s="434"/>
      <c r="E22" s="434"/>
      <c r="F22" s="429"/>
    </row>
    <row r="23">
      <c r="A23" s="429"/>
      <c r="B23" s="434"/>
      <c r="C23" s="434"/>
      <c r="D23" s="434"/>
      <c r="E23" s="434"/>
      <c r="F23" s="429"/>
    </row>
    <row r="24">
      <c r="B24" s="429"/>
      <c r="C24" s="429"/>
      <c r="D24" s="429"/>
      <c r="E24" s="429"/>
    </row>
  </sheetData>
  <mergeCells>
    <mergeCell ref="B3:E3"/>
    <mergeCell ref="B2:E2"/>
    <mergeCell ref="B7:E7"/>
    <mergeCell ref="B14:E14"/>
    <mergeCell ref="B13:E13"/>
    <mergeCell ref="B16:E16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sheetData>
    <row r="1"/>
    <row r="2">
      <c r="E2" s="447"/>
    </row>
    <row r="3"/>
    <row r="4"/>
    <row r="5"/>
    <row r="6"/>
    <row r="7"/>
    <row r="8"/>
    <row r="9"/>
    <row r="10"/>
    <row r="11"/>
    <row r="12"/>
    <row r="13"/>
    <row r="14"/>
    <row r="15"/>
    <row r="16">
      <c r="B16" s="448" t="s">
        <v>422</v>
      </c>
      <c r="C16" s="447"/>
    </row>
    <row r="17">
      <c r="B17" s="449" t="s">
        <v>423</v>
      </c>
      <c r="C17" s="449" t="s">
        <v>424</v>
      </c>
      <c r="D17" s="449" t="s">
        <v>425</v>
      </c>
      <c r="E17" s="449" t="s">
        <v>426</v>
      </c>
      <c r="F17" s="449" t="s">
        <v>427</v>
      </c>
      <c r="G17" s="450"/>
    </row>
    <row r="18">
      <c r="B18" s="451"/>
      <c r="C18" s="451"/>
      <c r="D18" s="451"/>
      <c r="E18" s="451"/>
      <c r="F18" s="451"/>
      <c r="G18" s="451"/>
    </row>
    <row r="19">
      <c r="B19" s="451"/>
      <c r="C19" s="451"/>
      <c r="D19" s="451"/>
      <c r="E19" s="451"/>
      <c r="F19" s="451"/>
      <c r="G19" s="451"/>
    </row>
    <row r="20">
      <c r="B20" s="451"/>
      <c r="C20" s="451"/>
      <c r="D20" s="451"/>
      <c r="E20" s="451"/>
      <c r="F20" s="451"/>
      <c r="G20" s="451"/>
    </row>
    <row r="21">
      <c r="B21" s="451"/>
      <c r="C21" s="451"/>
      <c r="D21" s="451"/>
      <c r="E21" s="451"/>
      <c r="F21" s="451"/>
      <c r="G21" s="451"/>
    </row>
    <row r="22">
      <c r="B22" s="451"/>
      <c r="C22" s="451"/>
      <c r="D22" s="451"/>
      <c r="E22" s="451"/>
      <c r="F22" s="451"/>
      <c r="G22" s="451"/>
    </row>
    <row r="23">
      <c r="B23" s="451"/>
      <c r="C23" s="451"/>
      <c r="D23" s="451"/>
      <c r="E23" s="451"/>
      <c r="F23" s="451"/>
      <c r="G23" s="451"/>
    </row>
    <row r="24">
      <c r="B24" s="451"/>
      <c r="C24" s="451"/>
      <c r="D24" s="451"/>
      <c r="E24" s="451"/>
      <c r="F24" s="451"/>
      <c r="G24" s="451"/>
    </row>
    <row r="25">
      <c r="B25" s="451"/>
      <c r="C25" s="451"/>
      <c r="D25" s="451"/>
      <c r="E25" s="451"/>
      <c r="F25" s="451"/>
      <c r="G25" s="451"/>
    </row>
  </sheetData>
  <hyperlinks>
    <hyperlink ref="B16" display="Plan SEO Tổng Thể" r:id="rId1"/>
  </hyperlink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sheetData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sheetData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6"/>
    <col collapsed="false" customWidth="true" hidden="false" max="3" min="3" style="0" width="17"/>
    <col collapsed="false" customWidth="true" hidden="false" max="6" min="6" style="0" width="7"/>
    <col collapsed="false" customWidth="true" hidden="false" max="7" min="7" style="0" width="42"/>
  </cols>
  <sheetData>
    <row r="1">
      <c r="E1" s="452"/>
      <c r="F1" s="452"/>
      <c r="G1" s="452"/>
      <c r="H1" s="452"/>
    </row>
    <row r="2">
      <c r="B2" s="453" t="s">
        <v>428</v>
      </c>
      <c r="C2" s="453"/>
      <c r="E2" s="454"/>
      <c r="F2" s="454"/>
      <c r="G2" s="454"/>
      <c r="H2" s="454"/>
    </row>
    <row r="3">
      <c r="B3" s="455" t="s">
        <v>429</v>
      </c>
      <c r="C3" s="455" t="s">
        <v>430</v>
      </c>
      <c r="E3" s="456" t="s">
        <v>431</v>
      </c>
      <c r="F3" s="457">
        <v>1</v>
      </c>
      <c r="G3" s="458" t="s">
        <v>432</v>
      </c>
      <c r="H3" s="459"/>
    </row>
    <row r="4">
      <c r="B4" s="460"/>
      <c r="C4" s="460"/>
      <c r="E4" s="456"/>
      <c r="F4" s="461">
        <v>2</v>
      </c>
      <c r="G4" s="462" t="s">
        <v>433</v>
      </c>
      <c r="H4" s="459"/>
    </row>
    <row r="5">
      <c r="B5" s="460"/>
      <c r="C5" s="460"/>
      <c r="E5" s="456" t="s">
        <v>434</v>
      </c>
      <c r="F5" s="463"/>
      <c r="G5" s="462" t="s">
        <v>435</v>
      </c>
      <c r="H5" s="459"/>
    </row>
    <row r="6">
      <c r="B6" s="464" t="s">
        <v>436</v>
      </c>
      <c r="C6" s="464"/>
      <c r="E6" s="456"/>
      <c r="F6" s="463">
        <v>1</v>
      </c>
      <c r="G6" s="462" t="s">
        <v>437</v>
      </c>
      <c r="H6" s="459"/>
    </row>
    <row r="7">
      <c r="B7" s="465" t="s">
        <v>438</v>
      </c>
      <c r="C7" s="466"/>
    </row>
    <row r="8">
      <c r="B8" s="467" t="s">
        <v>439</v>
      </c>
      <c r="C8" s="468"/>
    </row>
    <row r="9">
      <c r="B9" s="467" t="s">
        <v>440</v>
      </c>
      <c r="C9" s="469"/>
    </row>
    <row r="10">
      <c r="B10" s="467" t="s">
        <v>441</v>
      </c>
      <c r="C10" s="468"/>
    </row>
    <row r="11">
      <c r="B11" s="467" t="s">
        <v>442</v>
      </c>
      <c r="C11" s="468"/>
    </row>
    <row r="12">
      <c r="B12" s="467" t="s">
        <v>443</v>
      </c>
      <c r="C12" s="469"/>
    </row>
    <row r="13">
      <c r="B13" s="470" t="s">
        <v>444</v>
      </c>
      <c r="C13" s="471"/>
    </row>
    <row r="14">
      <c r="B14" s="472" t="s">
        <v>445</v>
      </c>
      <c r="C14" s="473"/>
    </row>
    <row r="15">
      <c r="B15" s="474"/>
      <c r="C15" s="471"/>
    </row>
    <row r="16">
      <c r="B16" s="474"/>
      <c r="C16" s="471"/>
    </row>
    <row r="17">
      <c r="B17" s="474"/>
      <c r="C17" s="471"/>
    </row>
    <row r="18">
      <c r="B18" s="474"/>
      <c r="C18" s="471"/>
    </row>
    <row r="19">
      <c r="B19" s="474"/>
      <c r="C19" s="471"/>
    </row>
    <row r="20">
      <c r="B20" s="475"/>
      <c r="C20" s="476"/>
    </row>
    <row r="21">
      <c r="B21" s="477"/>
      <c r="C21" s="478"/>
    </row>
  </sheetData>
  <mergeCells>
    <mergeCell ref="E2:H2"/>
    <mergeCell ref="E5:E6"/>
    <mergeCell ref="E3:E4"/>
    <mergeCell ref="B2:C2"/>
    <mergeCell ref="B6:C6"/>
  </mergeCells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3" min="3" style="0" width="24"/>
    <col collapsed="false" customWidth="true" hidden="false" max="4" min="4" style="0" width="17"/>
    <col collapsed="false" customWidth="true" hidden="false" max="7" min="7" style="0" width="30"/>
    <col collapsed="false" customWidth="true" hidden="false" max="9" min="9" style="0" width="24"/>
    <col collapsed="false" customWidth="true" hidden="false" max="10" min="10" style="0" width="17"/>
    <col collapsed="false" customWidth="true" hidden="false" max="1" min="1" style="0" width="30"/>
  </cols>
  <sheetData>
    <row r="1"/>
    <row r="2">
      <c r="A2" s="479" t="s">
        <v>446</v>
      </c>
    </row>
    <row r="3"/>
    <row r="4">
      <c r="G4" s="480"/>
      <c r="H4" s="480"/>
      <c r="I4" s="480"/>
      <c r="J4" s="480"/>
      <c r="K4" s="480"/>
    </row>
    <row r="5">
      <c r="A5" s="481" t="s">
        <v>447</v>
      </c>
      <c r="B5" s="482"/>
      <c r="C5" s="482"/>
      <c r="D5" s="482"/>
      <c r="E5" s="482"/>
      <c r="F5" s="480"/>
      <c r="G5" s="483" t="s">
        <v>448</v>
      </c>
      <c r="H5" s="484"/>
      <c r="I5" s="484"/>
      <c r="J5" s="484"/>
      <c r="K5" s="484"/>
      <c r="L5" s="480"/>
    </row>
    <row customHeight="true" ht="19" r="6">
      <c r="A6" s="485" t="s">
        <v>449</v>
      </c>
      <c r="B6" s="485" t="s">
        <v>450</v>
      </c>
      <c r="C6" s="486" t="s">
        <v>451</v>
      </c>
      <c r="D6" s="487" t="s">
        <v>452</v>
      </c>
      <c r="E6" s="485" t="s">
        <v>453</v>
      </c>
      <c r="F6" s="480"/>
      <c r="G6" s="488" t="s">
        <v>454</v>
      </c>
      <c r="H6" s="488"/>
      <c r="I6" s="488"/>
      <c r="J6" s="488"/>
      <c r="K6" s="488"/>
      <c r="L6" s="480"/>
    </row>
    <row customHeight="true" ht="19" r="7">
      <c r="A7" s="489" t="s">
        <v>455</v>
      </c>
      <c r="B7" s="490">
        <v>17943</v>
      </c>
      <c r="C7" s="490">
        <v>19737.300000000003</v>
      </c>
      <c r="D7" s="491">
        <v>17247</v>
      </c>
      <c r="E7" s="492">
        <v>0.8738277271967289</v>
      </c>
      <c r="F7" s="480"/>
      <c r="G7" s="493" t="s">
        <v>456</v>
      </c>
      <c r="H7" s="494">
        <v>43735</v>
      </c>
      <c r="I7" s="495">
        <v>48108.50000000001</v>
      </c>
      <c r="J7" s="496">
        <v>85290</v>
      </c>
      <c r="K7" s="497">
        <v>1.7728675805730794</v>
      </c>
      <c r="L7" s="480"/>
    </row>
    <row customHeight="true" ht="19" r="8">
      <c r="A8" s="489" t="s">
        <v>457</v>
      </c>
      <c r="B8" s="498">
        <v>3745</v>
      </c>
      <c r="C8" s="490">
        <v>4119.5</v>
      </c>
      <c r="D8" s="491">
        <v>5062</v>
      </c>
      <c r="E8" s="492">
        <v>1.228789901687098</v>
      </c>
      <c r="F8" s="480"/>
      <c r="G8" s="499" t="s">
        <v>458</v>
      </c>
      <c r="H8" s="500">
        <v>102</v>
      </c>
      <c r="I8" s="501">
        <v>112.2</v>
      </c>
      <c r="J8" s="502">
        <v>82</v>
      </c>
      <c r="K8" s="503">
        <v>0.7308377896613191</v>
      </c>
      <c r="L8" s="480"/>
    </row>
    <row customHeight="true" ht="19" r="9">
      <c r="A9" s="493" t="s">
        <v>459</v>
      </c>
      <c r="B9" s="504">
        <v>2283</v>
      </c>
      <c r="C9" s="490">
        <v>2511.3</v>
      </c>
      <c r="D9" s="491">
        <v>658</v>
      </c>
      <c r="E9" s="492">
        <v>0.2620156890853343</v>
      </c>
      <c r="G9" s="480"/>
      <c r="H9" s="480"/>
      <c r="I9" s="480"/>
      <c r="J9" s="480"/>
      <c r="K9" s="480"/>
    </row>
    <row customHeight="true" ht="19" r="10">
      <c r="A10" s="485" t="s">
        <v>449</v>
      </c>
      <c r="B10" s="485" t="s">
        <v>460</v>
      </c>
      <c r="C10" s="486" t="s">
        <v>461</v>
      </c>
      <c r="D10" s="487" t="s">
        <v>452</v>
      </c>
      <c r="E10" s="485" t="s">
        <v>453</v>
      </c>
      <c r="G10" s="488" t="s">
        <v>462</v>
      </c>
      <c r="H10" s="488"/>
      <c r="I10" s="488"/>
      <c r="J10" s="488"/>
      <c r="K10" s="488"/>
    </row>
    <row customHeight="true" ht="19" r="11">
      <c r="A11" s="489" t="s">
        <v>463</v>
      </c>
      <c r="B11" s="505">
        <v>17247</v>
      </c>
      <c r="C11" s="505">
        <v>22000</v>
      </c>
      <c r="D11" s="491">
        <v>19398</v>
      </c>
      <c r="E11" s="492">
        <f t="shared" ref="E11:E14" si="0">D11/C11</f>
      </c>
      <c r="G11" s="489" t="s">
        <v>463</v>
      </c>
      <c r="H11" s="506">
        <v>85290</v>
      </c>
      <c r="I11" s="505">
        <v>100000</v>
      </c>
      <c r="J11" s="507">
        <v>49194</v>
      </c>
      <c r="K11" s="492">
        <f t="shared" ref="K11:K13" si="2">J11/I11</f>
      </c>
    </row>
    <row customHeight="true" ht="19" r="12">
      <c r="A12" s="489" t="s">
        <v>464</v>
      </c>
      <c r="B12" s="508">
        <v>5062</v>
      </c>
      <c r="C12" s="505">
        <v>10000</v>
      </c>
      <c r="D12" s="491">
        <v>5842</v>
      </c>
      <c r="E12" s="492">
        <f t="shared" si="0"/>
      </c>
      <c r="G12" s="493" t="s">
        <v>465</v>
      </c>
      <c r="H12" s="509">
        <v>82</v>
      </c>
      <c r="I12" s="510">
        <v>500</v>
      </c>
      <c r="J12" s="511">
        <v>67</v>
      </c>
      <c r="K12" s="497">
        <f t="shared" si="2"/>
      </c>
    </row>
    <row customHeight="true" ht="19" r="13">
      <c r="A13" s="493" t="s">
        <v>465</v>
      </c>
      <c r="B13" s="512">
        <v>658</v>
      </c>
      <c r="C13" s="505">
        <v>1000</v>
      </c>
      <c r="D13" s="491">
        <v>914</v>
      </c>
      <c r="E13" s="492">
        <f t="shared" si="0"/>
      </c>
      <c r="G13" s="499" t="s">
        <v>466</v>
      </c>
      <c r="H13" s="513">
        <v>14</v>
      </c>
      <c r="I13" s="514">
        <v>20</v>
      </c>
      <c r="J13" s="502">
        <v>15</v>
      </c>
      <c r="K13" s="503">
        <f t="shared" si="2"/>
      </c>
    </row>
    <row customHeight="true" ht="19" r="14">
      <c r="A14" s="493" t="s">
        <v>466</v>
      </c>
      <c r="B14" s="510">
        <v>49</v>
      </c>
      <c r="C14" s="505">
        <v>90</v>
      </c>
      <c r="D14" s="491">
        <v>231</v>
      </c>
      <c r="E14" s="492">
        <f t="shared" si="0"/>
      </c>
    </row>
    <row customHeight="true" ht="19" r="15">
      <c r="A15" s="485" t="s">
        <v>449</v>
      </c>
      <c r="B15" s="485" t="s">
        <v>467</v>
      </c>
      <c r="C15" s="486" t="s">
        <v>468</v>
      </c>
      <c r="D15" s="487" t="s">
        <v>469</v>
      </c>
      <c r="E15" s="485" t="s">
        <v>453</v>
      </c>
      <c r="G15" s="488" t="s">
        <v>470</v>
      </c>
      <c r="H15" s="488"/>
      <c r="I15" s="488"/>
      <c r="J15" s="488"/>
      <c r="K15" s="488"/>
    </row>
    <row customHeight="true" ht="19" r="16">
      <c r="A16" s="489" t="s">
        <v>463</v>
      </c>
      <c r="B16" s="515">
        <v>19398</v>
      </c>
      <c r="C16" s="505">
        <f t="shared" ref="C16:C19" si="3">B16*130%</f>
      </c>
      <c r="D16" s="516">
        <v>16860</v>
      </c>
      <c r="E16" s="492">
        <f t="shared" ref="E16:E19" si="6">B16/C16</f>
      </c>
      <c r="G16" s="489" t="s">
        <v>471</v>
      </c>
      <c r="H16" s="517">
        <v>49194</v>
      </c>
      <c r="I16" s="505">
        <f t="shared" ref="I16:I18" si="5">H16*130%</f>
      </c>
      <c r="J16" s="518">
        <v>39.239</v>
      </c>
      <c r="K16" s="492">
        <f t="shared" ref="K16:K18" si="8">H16/I16</f>
      </c>
    </row>
    <row customHeight="true" ht="19" r="17">
      <c r="A17" s="489" t="s">
        <v>464</v>
      </c>
      <c r="B17" s="515">
        <v>5842</v>
      </c>
      <c r="C17" s="505">
        <f t="shared" si="3"/>
      </c>
      <c r="D17" s="516">
        <v>6134</v>
      </c>
      <c r="E17" s="492">
        <f t="shared" si="6"/>
      </c>
      <c r="G17" s="489" t="s">
        <v>472</v>
      </c>
      <c r="H17" s="519">
        <v>67</v>
      </c>
      <c r="I17" s="505">
        <f t="shared" si="5"/>
      </c>
      <c r="J17" s="518">
        <v>306</v>
      </c>
      <c r="K17" s="492">
        <f t="shared" si="8"/>
      </c>
    </row>
    <row customHeight="true" ht="19" r="18">
      <c r="A18" s="489" t="s">
        <v>465</v>
      </c>
      <c r="B18" s="515">
        <v>914</v>
      </c>
      <c r="C18" s="505">
        <f t="shared" si="3"/>
      </c>
      <c r="D18" s="518">
        <v>687</v>
      </c>
      <c r="E18" s="492">
        <f t="shared" si="6"/>
      </c>
      <c r="G18" s="489" t="s">
        <v>466</v>
      </c>
      <c r="H18" s="519">
        <v>15</v>
      </c>
      <c r="I18" s="505">
        <f t="shared" si="5"/>
      </c>
      <c r="J18" s="518">
        <v>14</v>
      </c>
      <c r="K18" s="492">
        <f t="shared" si="8"/>
      </c>
    </row>
    <row customHeight="true" ht="19" r="19">
      <c r="A19" s="489" t="s">
        <v>466</v>
      </c>
      <c r="B19" s="515">
        <v>231</v>
      </c>
      <c r="C19" s="505">
        <f t="shared" si="3"/>
      </c>
      <c r="D19" s="518">
        <v>233</v>
      </c>
      <c r="E19" s="492">
        <f t="shared" si="6"/>
      </c>
    </row>
    <row customHeight="true" ht="19" r="20"/>
    <row customHeight="true" ht="19" r="21">
      <c r="A21" s="481" t="s">
        <v>473</v>
      </c>
      <c r="B21" s="482"/>
      <c r="C21" s="520"/>
      <c r="D21" s="520"/>
      <c r="E21" s="520"/>
    </row>
    <row customHeight="true" ht="19" r="22">
      <c r="A22" s="521" t="s">
        <v>454</v>
      </c>
      <c r="B22" s="521"/>
      <c r="C22" s="521"/>
      <c r="D22" s="521"/>
      <c r="E22" s="521"/>
    </row>
    <row customHeight="true" ht="19" r="23">
      <c r="A23" s="489" t="s">
        <v>474</v>
      </c>
      <c r="B23" s="522">
        <v>290</v>
      </c>
      <c r="C23" s="490">
        <v>319</v>
      </c>
      <c r="D23" s="523">
        <v>359</v>
      </c>
      <c r="E23" s="492">
        <v>1.1253918495297806</v>
      </c>
    </row>
    <row customHeight="true" ht="19" r="24">
      <c r="A24" s="524" t="s">
        <v>475</v>
      </c>
      <c r="B24" s="525">
        <v>191</v>
      </c>
      <c r="C24" s="490">
        <v>210.10000000000002</v>
      </c>
      <c r="D24" s="526">
        <v>260</v>
      </c>
      <c r="E24" s="492">
        <v>1.2375059495478342</v>
      </c>
    </row>
    <row customHeight="true" ht="19" r="25">
      <c r="A25" s="524" t="s">
        <v>476</v>
      </c>
      <c r="B25" s="525">
        <v>16</v>
      </c>
      <c r="C25" s="490">
        <v>17.6</v>
      </c>
      <c r="D25" s="526">
        <v>24</v>
      </c>
      <c r="E25" s="492">
        <v>1.3636363636363635</v>
      </c>
    </row>
    <row customHeight="true" ht="19" r="26">
      <c r="A26" s="521" t="s">
        <v>462</v>
      </c>
      <c r="B26" s="527"/>
      <c r="C26" s="527"/>
      <c r="D26" s="527"/>
      <c r="E26" s="527"/>
    </row>
    <row customHeight="true" ht="19" r="27">
      <c r="A27" s="489" t="s">
        <v>474</v>
      </c>
      <c r="B27" s="528">
        <v>198</v>
      </c>
      <c r="C27" s="490">
        <v>500</v>
      </c>
      <c r="D27" s="523">
        <v>211</v>
      </c>
      <c r="E27" s="492">
        <f t="shared" ref="E27:E29" si="1">D27/C27</f>
      </c>
    </row>
    <row customHeight="true" ht="19" r="28">
      <c r="A28" s="524" t="s">
        <v>475</v>
      </c>
      <c r="B28" s="529">
        <v>260</v>
      </c>
      <c r="C28" s="490">
        <v>300</v>
      </c>
      <c r="D28" s="526">
        <v>263</v>
      </c>
      <c r="E28" s="492">
        <f t="shared" si="1"/>
      </c>
    </row>
    <row customHeight="true" ht="19" r="29">
      <c r="A29" s="524" t="s">
        <v>476</v>
      </c>
      <c r="B29" s="529">
        <v>24</v>
      </c>
      <c r="C29" s="490">
        <v>50</v>
      </c>
      <c r="D29" s="526">
        <v>16</v>
      </c>
      <c r="E29" s="492">
        <f t="shared" si="1"/>
      </c>
    </row>
    <row customHeight="true" ht="19" r="30">
      <c r="A30" s="521" t="s">
        <v>470</v>
      </c>
      <c r="B30" s="521"/>
      <c r="C30" s="521"/>
      <c r="D30" s="521"/>
      <c r="E30" s="521"/>
    </row>
    <row customHeight="true" ht="19" r="31">
      <c r="A31" s="489" t="s">
        <v>477</v>
      </c>
      <c r="B31" s="519">
        <v>211</v>
      </c>
      <c r="C31" s="490">
        <f t="shared" ref="C31:C33" si="4">B31*130%</f>
      </c>
      <c r="D31" s="530">
        <v>157</v>
      </c>
      <c r="E31" s="492">
        <f t="shared" ref="E31:E33" si="7">B31/C31</f>
      </c>
    </row>
    <row customHeight="true" ht="19" r="32">
      <c r="A32" s="524" t="s">
        <v>475</v>
      </c>
      <c r="B32" s="519">
        <v>263</v>
      </c>
      <c r="C32" s="490">
        <f t="shared" si="4"/>
      </c>
      <c r="D32" s="530">
        <v>174</v>
      </c>
      <c r="E32" s="492">
        <f t="shared" si="7"/>
      </c>
    </row>
    <row r="33">
      <c r="A33" s="524" t="s">
        <v>476</v>
      </c>
      <c r="B33" s="519">
        <v>16</v>
      </c>
      <c r="C33" s="490">
        <f t="shared" si="4"/>
      </c>
      <c r="D33" s="530">
        <v>10</v>
      </c>
      <c r="E33" s="492">
        <f t="shared" si="7"/>
      </c>
    </row>
    <row r="34"/>
    <row r="35">
      <c r="A35" s="479" t="s">
        <v>478</v>
      </c>
    </row>
  </sheetData>
  <mergeCells>
    <mergeCell ref="A30:E30"/>
    <mergeCell ref="A26:E26"/>
    <mergeCell ref="A22:E22"/>
    <mergeCell ref="G15:K15"/>
    <mergeCell ref="G10:K10"/>
    <mergeCell ref="G6:K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